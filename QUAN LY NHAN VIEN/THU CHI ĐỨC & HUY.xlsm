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QUAN LY NHA NGHI\QUAN LY NHAN VIEN\"/>
    </mc:Choice>
  </mc:AlternateContent>
  <xr:revisionPtr revIDLastSave="0" documentId="13_ncr:1_{EC5FEBAF-30E8-487E-8E88-F184E905045C}" xr6:coauthVersionLast="47" xr6:coauthVersionMax="47" xr10:uidLastSave="{00000000-0000-0000-0000-000000000000}"/>
  <bookViews>
    <workbookView xWindow="-30828" yWindow="-108" windowWidth="30936" windowHeight="16776" xr2:uid="{BBBE179C-0D89-41B1-8495-F93EA8AF5844}"/>
  </bookViews>
  <sheets>
    <sheet name="THU CHI CỦA ĐỨC" sheetId="1" r:id="rId1"/>
    <sheet name="THU CHI CỦA HUY" sheetId="2" r:id="rId2"/>
    <sheet name="KIỂM TRA TIỀ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3" l="1"/>
  <c r="D10" i="3"/>
  <c r="D9" i="3"/>
  <c r="D8" i="3"/>
  <c r="D7" i="3"/>
  <c r="D6" i="3"/>
  <c r="D5" i="3"/>
  <c r="D4" i="3"/>
  <c r="D3" i="3"/>
  <c r="I8" i="2"/>
  <c r="I7" i="2"/>
  <c r="I6" i="2"/>
  <c r="I5" i="2"/>
  <c r="C6" i="1"/>
  <c r="I8" i="1"/>
  <c r="I7" i="1"/>
  <c r="I6" i="1"/>
  <c r="I5" i="1"/>
  <c r="D12" i="3" l="1"/>
  <c r="I10" i="2"/>
  <c r="I12" i="2"/>
  <c r="I11" i="2"/>
  <c r="I9" i="2"/>
  <c r="I9" i="1"/>
  <c r="I10" i="1"/>
  <c r="I11" i="1"/>
  <c r="D13" i="3" s="1"/>
  <c r="D14" i="3" s="1"/>
  <c r="I12" i="1"/>
  <c r="I13" i="2" l="1"/>
  <c r="I13" i="1"/>
</calcChain>
</file>

<file path=xl/sharedStrings.xml><?xml version="1.0" encoding="utf-8"?>
<sst xmlns="http://schemas.openxmlformats.org/spreadsheetml/2006/main" count="82" uniqueCount="41">
  <si>
    <t>Ngày</t>
  </si>
  <si>
    <t>Nội dung giao dịch</t>
  </si>
  <si>
    <t>Thời gian giao dịch</t>
  </si>
  <si>
    <t>Loại giao dịch</t>
  </si>
  <si>
    <t>Hình thức giao dịch</t>
  </si>
  <si>
    <t>QUẢN LÝ THU CHI KHÁNH ĐỨC</t>
  </si>
  <si>
    <t>BÁO CÁO TỔNG HỢP</t>
  </si>
  <si>
    <t>Số dư ban đầu tiền mặt:</t>
  </si>
  <si>
    <t>Số dư ban đầu tài khoản:</t>
  </si>
  <si>
    <t>Thu tiền mặt:</t>
  </si>
  <si>
    <t>Chi tiền mặt:</t>
  </si>
  <si>
    <t>Thu tài khoản:</t>
  </si>
  <si>
    <t>Chi tài khoản:</t>
  </si>
  <si>
    <t>Tổng thu:</t>
  </si>
  <si>
    <t>Tổng chi:</t>
  </si>
  <si>
    <t>Tiền mặt hiện có:</t>
  </si>
  <si>
    <t>Tài khoản hiện có:</t>
  </si>
  <si>
    <t>Tổng tiền hiện có:</t>
  </si>
  <si>
    <t>Chi</t>
  </si>
  <si>
    <t>Chuyển khoản</t>
  </si>
  <si>
    <t>Số tiền giao dịch</t>
  </si>
  <si>
    <t>Mua màn hình cho anh Hai</t>
  </si>
  <si>
    <t>Mẹ mượn đóng cô Phượng</t>
  </si>
  <si>
    <t>Mẹ trả</t>
  </si>
  <si>
    <t>Thu</t>
  </si>
  <si>
    <t>Tiền mặt</t>
  </si>
  <si>
    <t>QUẢN LÝ THU CHI CỦA HUY</t>
  </si>
  <si>
    <t>Bán laptop</t>
  </si>
  <si>
    <t>Anh hai mượn</t>
  </si>
  <si>
    <t>Mua laptop</t>
  </si>
  <si>
    <t>KIỂM TRA TIỀN</t>
  </si>
  <si>
    <t>STT</t>
  </si>
  <si>
    <t>Mệnh Giá</t>
  </si>
  <si>
    <t>Số Tờ</t>
  </si>
  <si>
    <t>Thành Tiền</t>
  </si>
  <si>
    <t>Tiền mặt thu thực tế:</t>
  </si>
  <si>
    <t>Tiền mặt trên máy thu được:</t>
  </si>
  <si>
    <t>Kiểm tra tiền mặt hiện tại:</t>
  </si>
  <si>
    <t>Tiền dư</t>
  </si>
  <si>
    <t>Đức đưa</t>
  </si>
  <si>
    <t>Mua trà xanh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</si>
</sst>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\ dd/mm/yyyy"/>
  </numFmts>
  <fonts count="9" x14ac:knownFonts="1">
    <font>
      <sz val="11"/>
      <color theme="1"/>
      <name val="Aptos Narrow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rgb="FFE4C1B2"/>
      <name val="Times New Roman"/>
      <family val="1"/>
    </font>
    <font>
      <b/>
      <sz val="16"/>
      <color theme="1"/>
      <name val="Times New Roman"/>
      <family val="1"/>
    </font>
    <font>
      <sz val="26"/>
      <color theme="1"/>
      <name val="Times New Roman"/>
      <family val="1"/>
    </font>
    <font>
      <sz val="12"/>
      <name val="Calibri"/>
      <family val="2"/>
    </font>
    <font>
      <b/>
      <sz val="26"/>
      <color theme="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548135"/>
        <bgColor indexed="64"/>
      </patternFill>
    </fill>
    <fill>
      <patternFill patternType="solid">
        <fgColor rgb="FF01B050"/>
        <bgColor indexed="64"/>
      </patternFill>
    </fill>
    <fill>
      <patternFill patternType="solid">
        <fgColor rgb="FFFEF2CB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00B0F0"/>
        <bgColor rgb="FF00B0F0"/>
      </patternFill>
    </fill>
    <fill>
      <patternFill patternType="solid">
        <fgColor rgb="FFF4B083"/>
        <bgColor rgb="FFF4B083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1" fillId="4" borderId="1" xfId="0" applyFont="1" applyFill="1" applyBorder="1" applyAlignment="1">
      <alignment vertical="center" wrapText="1"/>
    </xf>
    <xf numFmtId="0" fontId="4" fillId="5" borderId="1" xfId="0" applyFont="1" applyFill="1" applyBorder="1" applyAlignment="1">
      <alignment vertical="center" wrapText="1"/>
    </xf>
    <xf numFmtId="0" fontId="2" fillId="6" borderId="1" xfId="0" applyFont="1" applyFill="1" applyBorder="1" applyAlignment="1">
      <alignment vertical="center" wrapText="1"/>
    </xf>
    <xf numFmtId="3" fontId="1" fillId="0" borderId="0" xfId="0" applyNumberFormat="1" applyFont="1"/>
    <xf numFmtId="3" fontId="1" fillId="0" borderId="1" xfId="0" applyNumberFormat="1" applyFont="1" applyBorder="1"/>
    <xf numFmtId="0" fontId="2" fillId="2" borderId="1" xfId="0" applyFont="1" applyFill="1" applyBorder="1" applyAlignment="1">
      <alignment horizontal="center" vertical="center"/>
    </xf>
    <xf numFmtId="3" fontId="2" fillId="2" borderId="1" xfId="0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3" fontId="6" fillId="0" borderId="8" xfId="0" applyNumberFormat="1" applyFont="1" applyBorder="1"/>
    <xf numFmtId="0" fontId="6" fillId="0" borderId="8" xfId="0" applyFont="1" applyBorder="1"/>
    <xf numFmtId="3" fontId="6" fillId="0" borderId="8" xfId="0" applyNumberFormat="1" applyFont="1" applyBorder="1" applyAlignment="1">
      <alignment horizontal="right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7" fillId="0" borderId="6" xfId="0" applyFont="1" applyBorder="1"/>
    <xf numFmtId="0" fontId="7" fillId="0" borderId="7" xfId="0" applyFont="1" applyBorder="1"/>
    <xf numFmtId="0" fontId="8" fillId="9" borderId="5" xfId="0" applyFont="1" applyFill="1" applyBorder="1" applyAlignment="1">
      <alignment horizontal="left"/>
    </xf>
    <xf numFmtId="0" fontId="8" fillId="10" borderId="5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F2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E83D3-B49E-4699-A396-ED8A9FF04996}">
  <sheetPr codeName="Sheet1"/>
  <dimension ref="A1:I13"/>
  <sheetViews>
    <sheetView tabSelected="1" workbookViewId="0">
      <selection activeCell="B11" sqref="B11"/>
    </sheetView>
  </sheetViews>
  <sheetFormatPr defaultRowHeight="18" x14ac:dyDescent="0.35"/>
  <cols>
    <col min="1" max="1" width="7.21875" style="10" bestFit="1" customWidth="1"/>
    <col min="2" max="2" width="29.88671875" style="10" bestFit="1" customWidth="1"/>
    <col min="3" max="3" width="22.88671875" style="11" customWidth="1"/>
    <col min="4" max="4" width="23.5546875" style="12" bestFit="1" customWidth="1"/>
    <col min="5" max="5" width="17.6640625" style="10" bestFit="1" customWidth="1"/>
    <col min="6" max="6" width="23.77734375" style="10" bestFit="1" customWidth="1"/>
    <col min="7" max="7" width="8.88671875" style="1"/>
    <col min="8" max="8" width="29.21875" style="1" bestFit="1" customWidth="1"/>
    <col min="9" max="9" width="29.33203125" style="5" customWidth="1"/>
    <col min="10" max="16384" width="8.88671875" style="1"/>
  </cols>
  <sheetData>
    <row r="1" spans="1:9" ht="22.8" x14ac:dyDescent="0.35">
      <c r="A1" s="19" t="s">
        <v>5</v>
      </c>
      <c r="B1" s="20"/>
      <c r="C1" s="20"/>
      <c r="D1" s="20"/>
      <c r="E1" s="20"/>
      <c r="F1" s="21"/>
    </row>
    <row r="2" spans="1:9" ht="20.399999999999999" x14ac:dyDescent="0.35">
      <c r="A2" s="7" t="s">
        <v>0</v>
      </c>
      <c r="B2" s="7" t="s">
        <v>1</v>
      </c>
      <c r="C2" s="8" t="s">
        <v>20</v>
      </c>
      <c r="D2" s="9" t="s">
        <v>2</v>
      </c>
      <c r="E2" s="7" t="s">
        <v>3</v>
      </c>
      <c r="F2" s="7" t="s">
        <v>4</v>
      </c>
      <c r="H2" s="22" t="s">
        <v>6</v>
      </c>
      <c r="I2" s="22"/>
    </row>
    <row r="3" spans="1:9" x14ac:dyDescent="0.35">
      <c r="B3" s="10" t="s">
        <v>21</v>
      </c>
      <c r="C3" s="11">
        <v>2050000</v>
      </c>
      <c r="D3" s="12">
        <v>45814.930752314816</v>
      </c>
      <c r="E3" s="10" t="s">
        <v>18</v>
      </c>
      <c r="F3" s="10" t="s">
        <v>19</v>
      </c>
      <c r="H3" s="2" t="s">
        <v>7</v>
      </c>
      <c r="I3" s="6"/>
    </row>
    <row r="4" spans="1:9" x14ac:dyDescent="0.35">
      <c r="B4" s="10" t="s">
        <v>21</v>
      </c>
      <c r="C4" s="11">
        <v>2550000</v>
      </c>
      <c r="E4" s="10" t="s">
        <v>18</v>
      </c>
      <c r="F4" s="10" t="s">
        <v>19</v>
      </c>
      <c r="H4" s="2" t="s">
        <v>8</v>
      </c>
      <c r="I4" s="6">
        <v>16100000</v>
      </c>
    </row>
    <row r="5" spans="1:9" x14ac:dyDescent="0.35">
      <c r="B5" s="10" t="s">
        <v>22</v>
      </c>
      <c r="C5" s="11">
        <v>219000</v>
      </c>
      <c r="D5" s="12">
        <v>45875.861550925925</v>
      </c>
      <c r="E5" s="10" t="s">
        <v>18</v>
      </c>
      <c r="F5" s="10" t="s">
        <v>19</v>
      </c>
      <c r="H5" s="2" t="s">
        <v>9</v>
      </c>
      <c r="I5" s="6">
        <f>SUMIFS(C3:C1000,F3:F1000,"Tiền mặt",E3:E1000,"Thu")</f>
        <v>347000</v>
      </c>
    </row>
    <row r="6" spans="1:9" x14ac:dyDescent="0.35">
      <c r="B6" s="10" t="s">
        <v>23</v>
      </c>
      <c r="C6" s="11">
        <f>219000+123000</f>
        <v>342000</v>
      </c>
      <c r="D6" s="12">
        <v>45875.889305555553</v>
      </c>
      <c r="E6" s="10" t="s">
        <v>24</v>
      </c>
      <c r="F6" s="10" t="s">
        <v>25</v>
      </c>
      <c r="H6" s="2" t="s">
        <v>10</v>
      </c>
      <c r="I6" s="6">
        <f>SUMIFS(C3:C1000,F3:F1000,"Tiền mặt",E3:E1000,"Chi")</f>
        <v>20000</v>
      </c>
    </row>
    <row r="7" spans="1:9" x14ac:dyDescent="0.35">
      <c r="B7" s="10" t="s">
        <v>28</v>
      </c>
      <c r="C7" s="11">
        <v>121875</v>
      </c>
      <c r="D7" s="12">
        <v>45906.345868055556</v>
      </c>
      <c r="E7" s="10" t="s">
        <v>18</v>
      </c>
      <c r="F7" s="10" t="s">
        <v>19</v>
      </c>
      <c r="H7" s="2" t="s">
        <v>11</v>
      </c>
      <c r="I7" s="6">
        <f>SUMIFS(C3:C1000,F3:F1000,"Chuyển khoản",E3:E1000,"Thu")</f>
        <v>0</v>
      </c>
    </row>
    <row r="8" spans="1:9" x14ac:dyDescent="0.35">
      <c r="B8" s="10" t="s">
        <v>28</v>
      </c>
      <c r="C8" s="11">
        <v>121875</v>
      </c>
      <c r="D8" s="12">
        <v>45906.348136574074</v>
      </c>
      <c r="E8" s="10" t="s">
        <v>18</v>
      </c>
      <c r="F8" s="10" t="s">
        <v>19</v>
      </c>
      <c r="H8" s="2" t="s">
        <v>12</v>
      </c>
      <c r="I8" s="6">
        <f>SUMIFS(C3:C1000,F3:F1000,"Chuyển khoản",E3:E1000,"Chi")</f>
        <v>5062750</v>
      </c>
    </row>
    <row r="9" spans="1:9" x14ac:dyDescent="0.35">
      <c r="B9" s="10" t="s">
        <v>39</v>
      </c>
      <c r="C9" s="11">
        <v>5000</v>
      </c>
      <c r="D9" s="12">
        <v>45936.86886574074</v>
      </c>
      <c r="E9" s="10" t="s">
        <v>24</v>
      </c>
      <c r="F9" s="10" t="s">
        <v>25</v>
      </c>
      <c r="H9" s="2" t="s">
        <v>13</v>
      </c>
      <c r="I9" s="6">
        <f>I5+I7</f>
        <v>347000</v>
      </c>
    </row>
    <row r="10" spans="1:9" x14ac:dyDescent="0.35">
      <c r="B10" s="10" t="s">
        <v>40</v>
      </c>
      <c r="C10" s="11">
        <v>20000</v>
      </c>
      <c r="D10" s="12">
        <v>45936.917916666665</v>
      </c>
      <c r="E10" s="10" t="s">
        <v>18</v>
      </c>
      <c r="F10" s="10" t="s">
        <v>25</v>
      </c>
      <c r="H10" s="2" t="s">
        <v>14</v>
      </c>
      <c r="I10" s="6">
        <f>I6+I8</f>
        <v>5082750</v>
      </c>
    </row>
    <row r="11" spans="1:9" x14ac:dyDescent="0.35">
      <c r="H11" s="3" t="s">
        <v>15</v>
      </c>
      <c r="I11" s="6">
        <f>I3+I5-I6</f>
        <v>327000</v>
      </c>
    </row>
    <row r="12" spans="1:9" x14ac:dyDescent="0.35">
      <c r="H12" s="3" t="s">
        <v>16</v>
      </c>
      <c r="I12" s="6">
        <f>I4+I7-I8</f>
        <v>11037250</v>
      </c>
    </row>
    <row r="13" spans="1:9" x14ac:dyDescent="0.35">
      <c r="H13" s="4" t="s">
        <v>17</v>
      </c>
      <c r="I13" s="6">
        <f>I11+I12</f>
        <v>11364250</v>
      </c>
    </row>
  </sheetData>
  <mergeCells count="2">
    <mergeCell ref="A1:F1"/>
    <mergeCell ref="H2:I2"/>
  </mergeCells>
  <dataValidations count="2">
    <dataValidation type="list" allowBlank="1" showInputMessage="1" showErrorMessage="1" sqref="E2:E1048576" xr:uid="{6EC0E1E3-0A26-46DF-BBE1-C1AF3FBA627D}">
      <formula1>"Thu, Chi"</formula1>
    </dataValidation>
    <dataValidation type="list" allowBlank="1" showInputMessage="1" showErrorMessage="1" sqref="F2:F1048576" xr:uid="{496E76F6-556C-45A1-BDFB-2F52669AF331}">
      <formula1>"Tiền mặt, Chuyển khoản"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62209-4F79-430C-AB23-7CA943474F09}">
  <sheetPr codeName="Sheet2"/>
  <dimension ref="A1:I13"/>
  <sheetViews>
    <sheetView workbookViewId="0">
      <selection activeCell="B7" sqref="B7"/>
    </sheetView>
  </sheetViews>
  <sheetFormatPr defaultRowHeight="18" x14ac:dyDescent="0.35"/>
  <cols>
    <col min="1" max="1" width="7.21875" style="10" bestFit="1" customWidth="1"/>
    <col min="2" max="2" width="29.88671875" style="10" bestFit="1" customWidth="1"/>
    <col min="3" max="3" width="22.88671875" style="11" customWidth="1"/>
    <col min="4" max="4" width="23.5546875" style="12" bestFit="1" customWidth="1"/>
    <col min="5" max="5" width="17.6640625" style="10" bestFit="1" customWidth="1"/>
    <col min="6" max="6" width="23.77734375" style="10" bestFit="1" customWidth="1"/>
    <col min="7" max="7" width="8.88671875" style="1"/>
    <col min="8" max="8" width="29.21875" style="1" bestFit="1" customWidth="1"/>
    <col min="9" max="9" width="29.33203125" style="5" customWidth="1"/>
    <col min="10" max="16384" width="8.88671875" style="1"/>
  </cols>
  <sheetData>
    <row r="1" spans="1:9" ht="22.8" x14ac:dyDescent="0.35">
      <c r="A1" s="19" t="s">
        <v>26</v>
      </c>
      <c r="B1" s="20"/>
      <c r="C1" s="20"/>
      <c r="D1" s="20"/>
      <c r="E1" s="20"/>
      <c r="F1" s="21"/>
    </row>
    <row r="2" spans="1:9" ht="20.399999999999999" x14ac:dyDescent="0.35">
      <c r="A2" s="7" t="s">
        <v>0</v>
      </c>
      <c r="B2" s="7" t="s">
        <v>1</v>
      </c>
      <c r="C2" s="8" t="s">
        <v>20</v>
      </c>
      <c r="D2" s="9" t="s">
        <v>2</v>
      </c>
      <c r="E2" s="7" t="s">
        <v>3</v>
      </c>
      <c r="F2" s="7" t="s">
        <v>4</v>
      </c>
      <c r="H2" s="22" t="s">
        <v>6</v>
      </c>
      <c r="I2" s="22"/>
    </row>
    <row r="3" spans="1:9" x14ac:dyDescent="0.35">
      <c r="B3" s="10" t="s">
        <v>27</v>
      </c>
      <c r="C3" s="11">
        <v>6000000</v>
      </c>
      <c r="D3" s="12">
        <v>45875.890833333331</v>
      </c>
      <c r="E3" s="10" t="s">
        <v>24</v>
      </c>
      <c r="F3" s="10" t="s">
        <v>25</v>
      </c>
      <c r="H3" s="2" t="s">
        <v>7</v>
      </c>
      <c r="I3" s="6"/>
    </row>
    <row r="4" spans="1:9" x14ac:dyDescent="0.35">
      <c r="B4" s="10" t="s">
        <v>27</v>
      </c>
      <c r="C4" s="11">
        <v>11200000</v>
      </c>
      <c r="D4" s="12">
        <v>45936.704328703701</v>
      </c>
      <c r="E4" s="10" t="s">
        <v>24</v>
      </c>
      <c r="F4" s="10" t="s">
        <v>19</v>
      </c>
      <c r="H4" s="2" t="s">
        <v>8</v>
      </c>
      <c r="I4" s="6"/>
    </row>
    <row r="5" spans="1:9" x14ac:dyDescent="0.35">
      <c r="B5" s="10" t="s">
        <v>29</v>
      </c>
      <c r="C5" s="11">
        <v>10000000</v>
      </c>
      <c r="D5" s="12">
        <v>45936.704861111109</v>
      </c>
      <c r="E5" s="10" t="s">
        <v>18</v>
      </c>
      <c r="F5" s="10" t="s">
        <v>19</v>
      </c>
      <c r="H5" s="2" t="s">
        <v>9</v>
      </c>
      <c r="I5" s="6">
        <f>SUMIFS(C3:C1000,F3:F1000,"Tiền mặt",E3:E1000,"Thu")</f>
        <v>6000000</v>
      </c>
    </row>
    <row r="6" spans="1:9" x14ac:dyDescent="0.35">
      <c r="B6" s="10" t="s">
        <v>38</v>
      </c>
      <c r="C6" s="11">
        <v>115360</v>
      </c>
      <c r="D6" s="12">
        <v>45936.742951388886</v>
      </c>
      <c r="E6" s="10" t="s">
        <v>24</v>
      </c>
      <c r="F6" s="10" t="s">
        <v>19</v>
      </c>
      <c r="H6" s="2" t="s">
        <v>10</v>
      </c>
      <c r="I6" s="6">
        <f>SUMIFS(C3:C1000,F3:F1000,"Tiền mặt",E3:E1000,"Chi")</f>
        <v>0</v>
      </c>
    </row>
    <row r="7" spans="1:9" x14ac:dyDescent="0.35">
      <c r="H7" s="2" t="s">
        <v>11</v>
      </c>
      <c r="I7" s="6">
        <f>SUMIFS(C3:C1000,F3:F1000,"Chuyển khoản",E3:E1000,"Thu")</f>
        <v>11315360</v>
      </c>
    </row>
    <row r="8" spans="1:9" x14ac:dyDescent="0.35">
      <c r="H8" s="2" t="s">
        <v>12</v>
      </c>
      <c r="I8" s="6">
        <f>SUMIFS(C3:C1000,F3:F1000,"Chuyển khoản",E3:E1000,"Chi")</f>
        <v>10000000</v>
      </c>
    </row>
    <row r="9" spans="1:9" x14ac:dyDescent="0.35">
      <c r="H9" s="2" t="s">
        <v>13</v>
      </c>
      <c r="I9" s="6">
        <f>I5+I7</f>
        <v>17315360</v>
      </c>
    </row>
    <row r="10" spans="1:9" x14ac:dyDescent="0.35">
      <c r="H10" s="2" t="s">
        <v>14</v>
      </c>
      <c r="I10" s="6">
        <f>I6+I8</f>
        <v>10000000</v>
      </c>
    </row>
    <row r="11" spans="1:9" x14ac:dyDescent="0.35">
      <c r="H11" s="3" t="s">
        <v>15</v>
      </c>
      <c r="I11" s="6">
        <f>I3+I5-I6</f>
        <v>6000000</v>
      </c>
    </row>
    <row r="12" spans="1:9" x14ac:dyDescent="0.35">
      <c r="H12" s="3" t="s">
        <v>16</v>
      </c>
      <c r="I12" s="6">
        <f>I4+I7-I8</f>
        <v>1315360</v>
      </c>
    </row>
    <row r="13" spans="1:9" x14ac:dyDescent="0.35">
      <c r="H13" s="4" t="s">
        <v>17</v>
      </c>
      <c r="I13" s="6">
        <f>I11+I12</f>
        <v>7315360</v>
      </c>
    </row>
  </sheetData>
  <mergeCells count="2">
    <mergeCell ref="A1:F1"/>
    <mergeCell ref="H2:I2"/>
  </mergeCells>
  <dataValidations count="2">
    <dataValidation type="list" allowBlank="1" showInputMessage="1" showErrorMessage="1" sqref="F2:F1048576" xr:uid="{AB3B1EB9-7941-4978-BCC5-BA0A638A4BB9}">
      <formula1>"Tiền mặt, Chuyển khoản"</formula1>
    </dataValidation>
    <dataValidation type="list" allowBlank="1" showInputMessage="1" showErrorMessage="1" sqref="E2:E1048576" xr:uid="{506C0C8F-5B6B-4C60-B3BF-D365887106E4}">
      <formula1>"Thu, Chi"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2F50D-708B-4E55-A724-F731F1790669}">
  <sheetPr codeName="Sheet3"/>
  <dimension ref="A1:Z1000"/>
  <sheetViews>
    <sheetView workbookViewId="0">
      <selection activeCell="C7" sqref="C7"/>
    </sheetView>
  </sheetViews>
  <sheetFormatPr defaultColWidth="12.44140625" defaultRowHeight="14.4" x14ac:dyDescent="0.3"/>
  <cols>
    <col min="1" max="1" width="10.109375" bestFit="1" customWidth="1"/>
    <col min="2" max="2" width="37.6640625" customWidth="1"/>
    <col min="3" max="3" width="38.109375" customWidth="1"/>
    <col min="4" max="4" width="45.6640625" bestFit="1" customWidth="1"/>
    <col min="5" max="6" width="17.44140625" customWidth="1"/>
  </cols>
  <sheetData>
    <row r="1" spans="1:26" ht="32.4" x14ac:dyDescent="0.55000000000000004">
      <c r="A1" s="23" t="s">
        <v>30</v>
      </c>
      <c r="B1" s="24"/>
      <c r="C1" s="24"/>
      <c r="D1" s="25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32.4" x14ac:dyDescent="0.55000000000000004">
      <c r="A2" s="14" t="s">
        <v>31</v>
      </c>
      <c r="B2" s="15" t="s">
        <v>32</v>
      </c>
      <c r="C2" s="15" t="s">
        <v>33</v>
      </c>
      <c r="D2" s="15" t="s">
        <v>34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32.4" x14ac:dyDescent="0.55000000000000004">
      <c r="A3" s="14">
        <v>1</v>
      </c>
      <c r="B3" s="16">
        <v>1000</v>
      </c>
      <c r="C3" s="17"/>
      <c r="D3" s="18">
        <f t="shared" ref="D3:D11" si="0">B3*C3</f>
        <v>0</v>
      </c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32.4" x14ac:dyDescent="0.55000000000000004">
      <c r="A4" s="14">
        <v>2</v>
      </c>
      <c r="B4" s="16">
        <v>2000</v>
      </c>
      <c r="C4" s="17">
        <v>1</v>
      </c>
      <c r="D4" s="18">
        <f t="shared" si="0"/>
        <v>2000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32.4" x14ac:dyDescent="0.55000000000000004">
      <c r="A5" s="14">
        <v>3</v>
      </c>
      <c r="B5" s="16">
        <v>5000</v>
      </c>
      <c r="C5" s="17"/>
      <c r="D5" s="18">
        <f t="shared" si="0"/>
        <v>0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32.4" x14ac:dyDescent="0.55000000000000004">
      <c r="A6" s="14">
        <v>4</v>
      </c>
      <c r="B6" s="16">
        <v>10000</v>
      </c>
      <c r="C6" s="17">
        <v>1</v>
      </c>
      <c r="D6" s="18">
        <f t="shared" si="0"/>
        <v>10000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32.4" x14ac:dyDescent="0.55000000000000004">
      <c r="A7" s="14">
        <v>5</v>
      </c>
      <c r="B7" s="16">
        <v>20000</v>
      </c>
      <c r="C7" s="17"/>
      <c r="D7" s="18">
        <f t="shared" si="0"/>
        <v>0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32.4" x14ac:dyDescent="0.55000000000000004">
      <c r="A8" s="14">
        <v>6</v>
      </c>
      <c r="B8" s="16">
        <v>50000</v>
      </c>
      <c r="C8" s="17"/>
      <c r="D8" s="18">
        <f t="shared" si="0"/>
        <v>0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32.4" x14ac:dyDescent="0.55000000000000004">
      <c r="A9" s="14">
        <v>7</v>
      </c>
      <c r="B9" s="16">
        <v>100000</v>
      </c>
      <c r="C9" s="17"/>
      <c r="D9" s="18">
        <f t="shared" si="0"/>
        <v>0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32.4" x14ac:dyDescent="0.55000000000000004">
      <c r="A10" s="14">
        <v>8</v>
      </c>
      <c r="B10" s="16">
        <v>200000</v>
      </c>
      <c r="C10" s="17"/>
      <c r="D10" s="18">
        <f t="shared" si="0"/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32.4" x14ac:dyDescent="0.55000000000000004">
      <c r="A11" s="14">
        <v>9</v>
      </c>
      <c r="B11" s="16">
        <v>500000</v>
      </c>
      <c r="C11" s="17"/>
      <c r="D11" s="18">
        <f t="shared" si="0"/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32.4" x14ac:dyDescent="0.55000000000000004">
      <c r="A12" s="26" t="s">
        <v>35</v>
      </c>
      <c r="B12" s="24"/>
      <c r="C12" s="25"/>
      <c r="D12" s="18">
        <f>SUM(D3:D11)</f>
        <v>12000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32.4" x14ac:dyDescent="0.55000000000000004">
      <c r="A13" s="26" t="s">
        <v>36</v>
      </c>
      <c r="B13" s="24"/>
      <c r="C13" s="25"/>
      <c r="D13" s="18">
        <f>'THU CHI CỦA ĐỨC'!I11</f>
        <v>327000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32.4" x14ac:dyDescent="0.55000000000000004">
      <c r="A14" s="27" t="s">
        <v>37</v>
      </c>
      <c r="B14" s="24"/>
      <c r="C14" s="25"/>
      <c r="D14" s="15" t="str">
        <f>IF(D12=D13, "Tiền mặt đủ", IF(D12&lt;D13, "Thiếu " &amp; TEXT(D13-D12,"#,##0") &amp; " VND", "Dư " &amp; TEXT(D12-D13,"#,##0") &amp; " VND"))</f>
        <v>Thiếu 315,000 VND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32.4" x14ac:dyDescent="0.55000000000000004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32.4" x14ac:dyDescent="0.55000000000000004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32.4" x14ac:dyDescent="0.55000000000000004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32.4" x14ac:dyDescent="0.55000000000000004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32.4" x14ac:dyDescent="0.55000000000000004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32.4" x14ac:dyDescent="0.55000000000000004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32.4" x14ac:dyDescent="0.55000000000000004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32.4" x14ac:dyDescent="0.55000000000000004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32.4" x14ac:dyDescent="0.55000000000000004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32.4" x14ac:dyDescent="0.55000000000000004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32.4" x14ac:dyDescent="0.55000000000000004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ht="32.4" x14ac:dyDescent="0.55000000000000004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ht="32.4" x14ac:dyDescent="0.55000000000000004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32.4" x14ac:dyDescent="0.55000000000000004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32.4" x14ac:dyDescent="0.55000000000000004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32.4" x14ac:dyDescent="0.55000000000000004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32.4" x14ac:dyDescent="0.55000000000000004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32.4" x14ac:dyDescent="0.55000000000000004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32.4" x14ac:dyDescent="0.55000000000000004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32.4" x14ac:dyDescent="0.55000000000000004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32.4" x14ac:dyDescent="0.55000000000000004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32.4" x14ac:dyDescent="0.55000000000000004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32.4" x14ac:dyDescent="0.55000000000000004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32.4" x14ac:dyDescent="0.55000000000000004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32.4" x14ac:dyDescent="0.55000000000000004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32.4" x14ac:dyDescent="0.55000000000000004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32.4" x14ac:dyDescent="0.55000000000000004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32.4" x14ac:dyDescent="0.55000000000000004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32.4" x14ac:dyDescent="0.55000000000000004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32.4" x14ac:dyDescent="0.55000000000000004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32.4" x14ac:dyDescent="0.55000000000000004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32.4" x14ac:dyDescent="0.55000000000000004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32.4" x14ac:dyDescent="0.55000000000000004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32.4" x14ac:dyDescent="0.55000000000000004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32.4" x14ac:dyDescent="0.55000000000000004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32.4" x14ac:dyDescent="0.55000000000000004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32.4" x14ac:dyDescent="0.55000000000000004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32.4" x14ac:dyDescent="0.55000000000000004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32.4" x14ac:dyDescent="0.55000000000000004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32.4" x14ac:dyDescent="0.55000000000000004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32.4" x14ac:dyDescent="0.55000000000000004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32.4" x14ac:dyDescent="0.55000000000000004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32.4" x14ac:dyDescent="0.55000000000000004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32.4" x14ac:dyDescent="0.55000000000000004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32.4" x14ac:dyDescent="0.55000000000000004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32.4" x14ac:dyDescent="0.55000000000000004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32.4" x14ac:dyDescent="0.55000000000000004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32.4" x14ac:dyDescent="0.55000000000000004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32.4" x14ac:dyDescent="0.55000000000000004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32.4" x14ac:dyDescent="0.55000000000000004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32.4" x14ac:dyDescent="0.55000000000000004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32.4" x14ac:dyDescent="0.55000000000000004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32.4" x14ac:dyDescent="0.55000000000000004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32.4" x14ac:dyDescent="0.55000000000000004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32.4" x14ac:dyDescent="0.55000000000000004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32.4" x14ac:dyDescent="0.55000000000000004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32.4" x14ac:dyDescent="0.55000000000000004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  <row r="72" spans="1:26" ht="32.4" x14ac:dyDescent="0.55000000000000004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</row>
    <row r="73" spans="1:26" ht="32.4" x14ac:dyDescent="0.55000000000000004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</row>
    <row r="74" spans="1:26" ht="32.4" x14ac:dyDescent="0.55000000000000004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</row>
    <row r="75" spans="1:26" ht="32.4" x14ac:dyDescent="0.55000000000000004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</row>
    <row r="76" spans="1:26" ht="32.4" x14ac:dyDescent="0.55000000000000004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</row>
    <row r="77" spans="1:26" ht="32.4" x14ac:dyDescent="0.55000000000000004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</row>
    <row r="78" spans="1:26" ht="32.4" x14ac:dyDescent="0.55000000000000004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</row>
    <row r="79" spans="1:26" ht="32.4" x14ac:dyDescent="0.55000000000000004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</row>
    <row r="80" spans="1:26" ht="32.4" x14ac:dyDescent="0.55000000000000004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</row>
    <row r="81" spans="1:26" ht="32.4" x14ac:dyDescent="0.55000000000000004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</row>
    <row r="82" spans="1:26" ht="32.4" x14ac:dyDescent="0.55000000000000004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</row>
    <row r="83" spans="1:26" ht="32.4" x14ac:dyDescent="0.55000000000000004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</row>
    <row r="84" spans="1:26" ht="32.4" x14ac:dyDescent="0.55000000000000004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</row>
    <row r="85" spans="1:26" ht="32.4" x14ac:dyDescent="0.55000000000000004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</row>
    <row r="86" spans="1:26" ht="32.4" x14ac:dyDescent="0.55000000000000004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26" ht="32.4" x14ac:dyDescent="0.55000000000000004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</row>
    <row r="88" spans="1:26" ht="32.4" x14ac:dyDescent="0.55000000000000004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</row>
    <row r="89" spans="1:26" ht="32.4" x14ac:dyDescent="0.55000000000000004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</row>
    <row r="90" spans="1:26" ht="32.4" x14ac:dyDescent="0.55000000000000004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</row>
    <row r="91" spans="1:26" ht="32.4" x14ac:dyDescent="0.55000000000000004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</row>
    <row r="92" spans="1:26" ht="32.4" x14ac:dyDescent="0.55000000000000004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</row>
    <row r="93" spans="1:26" ht="32.4" x14ac:dyDescent="0.55000000000000004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</row>
    <row r="94" spans="1:26" ht="32.4" x14ac:dyDescent="0.55000000000000004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</row>
    <row r="95" spans="1:26" ht="32.4" x14ac:dyDescent="0.55000000000000004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</row>
    <row r="96" spans="1:26" ht="32.4" x14ac:dyDescent="0.55000000000000004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</row>
    <row r="97" spans="1:26" ht="32.4" x14ac:dyDescent="0.55000000000000004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</row>
    <row r="98" spans="1:26" ht="32.4" x14ac:dyDescent="0.55000000000000004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</row>
    <row r="99" spans="1:26" ht="32.4" x14ac:dyDescent="0.55000000000000004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</row>
    <row r="100" spans="1:26" ht="32.4" x14ac:dyDescent="0.55000000000000004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</row>
    <row r="101" spans="1:26" ht="32.4" x14ac:dyDescent="0.55000000000000004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</row>
    <row r="102" spans="1:26" ht="32.4" x14ac:dyDescent="0.55000000000000004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</row>
    <row r="103" spans="1:26" ht="32.4" x14ac:dyDescent="0.55000000000000004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</row>
    <row r="104" spans="1:26" ht="32.4" x14ac:dyDescent="0.55000000000000004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</row>
    <row r="105" spans="1:26" ht="32.4" x14ac:dyDescent="0.55000000000000004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</row>
    <row r="106" spans="1:26" ht="32.4" x14ac:dyDescent="0.55000000000000004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</row>
    <row r="107" spans="1:26" ht="32.4" x14ac:dyDescent="0.55000000000000004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</row>
    <row r="108" spans="1:26" ht="32.4" x14ac:dyDescent="0.55000000000000004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</row>
    <row r="109" spans="1:26" ht="32.4" x14ac:dyDescent="0.55000000000000004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</row>
    <row r="110" spans="1:26" ht="32.4" x14ac:dyDescent="0.55000000000000004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</row>
    <row r="111" spans="1:26" ht="32.4" x14ac:dyDescent="0.55000000000000004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</row>
    <row r="112" spans="1:26" ht="32.4" x14ac:dyDescent="0.55000000000000004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</row>
    <row r="113" spans="1:26" ht="32.4" x14ac:dyDescent="0.55000000000000004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</row>
    <row r="114" spans="1:26" ht="32.4" x14ac:dyDescent="0.55000000000000004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</row>
    <row r="115" spans="1:26" ht="32.4" x14ac:dyDescent="0.55000000000000004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</row>
    <row r="116" spans="1:26" ht="32.4" x14ac:dyDescent="0.55000000000000004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</row>
    <row r="117" spans="1:26" ht="32.4" x14ac:dyDescent="0.55000000000000004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</row>
    <row r="118" spans="1:26" ht="32.4" x14ac:dyDescent="0.55000000000000004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</row>
    <row r="119" spans="1:26" ht="32.4" x14ac:dyDescent="0.55000000000000004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</row>
    <row r="120" spans="1:26" ht="32.4" x14ac:dyDescent="0.55000000000000004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</row>
    <row r="121" spans="1:26" ht="32.4" x14ac:dyDescent="0.55000000000000004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</row>
    <row r="122" spans="1:26" ht="32.4" x14ac:dyDescent="0.55000000000000004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</row>
    <row r="123" spans="1:26" ht="32.4" x14ac:dyDescent="0.55000000000000004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</row>
    <row r="124" spans="1:26" ht="32.4" x14ac:dyDescent="0.55000000000000004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</row>
    <row r="125" spans="1:26" ht="32.4" x14ac:dyDescent="0.55000000000000004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</row>
    <row r="126" spans="1:26" ht="32.4" x14ac:dyDescent="0.55000000000000004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</row>
    <row r="127" spans="1:26" ht="32.4" x14ac:dyDescent="0.55000000000000004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</row>
    <row r="128" spans="1:26" ht="32.4" x14ac:dyDescent="0.55000000000000004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</row>
    <row r="129" spans="1:26" ht="32.4" x14ac:dyDescent="0.55000000000000004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</row>
    <row r="130" spans="1:26" ht="32.4" x14ac:dyDescent="0.55000000000000004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</row>
    <row r="131" spans="1:26" ht="32.4" x14ac:dyDescent="0.55000000000000004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</row>
    <row r="132" spans="1:26" ht="32.4" x14ac:dyDescent="0.55000000000000004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</row>
    <row r="133" spans="1:26" ht="32.4" x14ac:dyDescent="0.55000000000000004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</row>
    <row r="134" spans="1:26" ht="32.4" x14ac:dyDescent="0.55000000000000004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</row>
    <row r="135" spans="1:26" ht="32.4" x14ac:dyDescent="0.55000000000000004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</row>
    <row r="136" spans="1:26" ht="32.4" x14ac:dyDescent="0.55000000000000004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</row>
    <row r="137" spans="1:26" ht="32.4" x14ac:dyDescent="0.55000000000000004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</row>
    <row r="138" spans="1:26" ht="32.4" x14ac:dyDescent="0.55000000000000004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</row>
    <row r="139" spans="1:26" ht="32.4" x14ac:dyDescent="0.55000000000000004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</row>
    <row r="140" spans="1:26" ht="32.4" x14ac:dyDescent="0.55000000000000004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</row>
    <row r="141" spans="1:26" ht="32.4" x14ac:dyDescent="0.55000000000000004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</row>
    <row r="142" spans="1:26" ht="32.4" x14ac:dyDescent="0.55000000000000004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</row>
    <row r="143" spans="1:26" ht="32.4" x14ac:dyDescent="0.55000000000000004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</row>
    <row r="144" spans="1:26" ht="32.4" x14ac:dyDescent="0.55000000000000004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</row>
    <row r="145" spans="1:26" ht="32.4" x14ac:dyDescent="0.55000000000000004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</row>
    <row r="146" spans="1:26" ht="32.4" x14ac:dyDescent="0.55000000000000004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</row>
    <row r="147" spans="1:26" ht="32.4" x14ac:dyDescent="0.55000000000000004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</row>
    <row r="148" spans="1:26" ht="32.4" x14ac:dyDescent="0.55000000000000004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</row>
    <row r="149" spans="1:26" ht="32.4" x14ac:dyDescent="0.55000000000000004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</row>
    <row r="150" spans="1:26" ht="32.4" x14ac:dyDescent="0.55000000000000004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</row>
    <row r="151" spans="1:26" ht="32.4" x14ac:dyDescent="0.55000000000000004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</row>
    <row r="152" spans="1:26" ht="32.4" x14ac:dyDescent="0.55000000000000004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</row>
    <row r="153" spans="1:26" ht="32.4" x14ac:dyDescent="0.55000000000000004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</row>
    <row r="154" spans="1:26" ht="32.4" x14ac:dyDescent="0.55000000000000004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</row>
    <row r="155" spans="1:26" ht="32.4" x14ac:dyDescent="0.55000000000000004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</row>
    <row r="156" spans="1:26" ht="32.4" x14ac:dyDescent="0.55000000000000004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</row>
    <row r="157" spans="1:26" ht="32.4" x14ac:dyDescent="0.55000000000000004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</row>
    <row r="158" spans="1:26" ht="32.4" x14ac:dyDescent="0.55000000000000004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</row>
    <row r="159" spans="1:26" ht="32.4" x14ac:dyDescent="0.55000000000000004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</row>
    <row r="160" spans="1:26" ht="32.4" x14ac:dyDescent="0.55000000000000004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</row>
    <row r="161" spans="1:26" ht="32.4" x14ac:dyDescent="0.55000000000000004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</row>
    <row r="162" spans="1:26" ht="32.4" x14ac:dyDescent="0.55000000000000004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</row>
    <row r="163" spans="1:26" ht="32.4" x14ac:dyDescent="0.55000000000000004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</row>
    <row r="164" spans="1:26" ht="32.4" x14ac:dyDescent="0.55000000000000004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</row>
    <row r="165" spans="1:26" ht="32.4" x14ac:dyDescent="0.55000000000000004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</row>
    <row r="166" spans="1:26" ht="32.4" x14ac:dyDescent="0.55000000000000004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</row>
    <row r="167" spans="1:26" ht="32.4" x14ac:dyDescent="0.55000000000000004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</row>
    <row r="168" spans="1:26" ht="32.4" x14ac:dyDescent="0.55000000000000004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</row>
    <row r="169" spans="1:26" ht="32.4" x14ac:dyDescent="0.55000000000000004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</row>
    <row r="170" spans="1:26" ht="32.4" x14ac:dyDescent="0.55000000000000004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</row>
    <row r="171" spans="1:26" ht="32.4" x14ac:dyDescent="0.55000000000000004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</row>
    <row r="172" spans="1:26" ht="32.4" x14ac:dyDescent="0.55000000000000004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</row>
    <row r="173" spans="1:26" ht="32.4" x14ac:dyDescent="0.55000000000000004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</row>
    <row r="174" spans="1:26" ht="32.4" x14ac:dyDescent="0.55000000000000004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</row>
    <row r="175" spans="1:26" ht="32.4" x14ac:dyDescent="0.55000000000000004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</row>
    <row r="176" spans="1:26" ht="32.4" x14ac:dyDescent="0.55000000000000004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</row>
    <row r="177" spans="1:26" ht="32.4" x14ac:dyDescent="0.55000000000000004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</row>
    <row r="178" spans="1:26" ht="32.4" x14ac:dyDescent="0.55000000000000004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</row>
    <row r="179" spans="1:26" ht="32.4" x14ac:dyDescent="0.55000000000000004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</row>
    <row r="180" spans="1:26" ht="32.4" x14ac:dyDescent="0.55000000000000004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</row>
    <row r="181" spans="1:26" ht="32.4" x14ac:dyDescent="0.55000000000000004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</row>
    <row r="182" spans="1:26" ht="32.4" x14ac:dyDescent="0.55000000000000004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</row>
    <row r="183" spans="1:26" ht="32.4" x14ac:dyDescent="0.55000000000000004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</row>
    <row r="184" spans="1:26" ht="32.4" x14ac:dyDescent="0.55000000000000004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</row>
    <row r="185" spans="1:26" ht="32.4" x14ac:dyDescent="0.55000000000000004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</row>
    <row r="186" spans="1:26" ht="32.4" x14ac:dyDescent="0.55000000000000004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</row>
    <row r="187" spans="1:26" ht="32.4" x14ac:dyDescent="0.55000000000000004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</row>
    <row r="188" spans="1:26" ht="32.4" x14ac:dyDescent="0.55000000000000004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</row>
    <row r="189" spans="1:26" ht="32.4" x14ac:dyDescent="0.55000000000000004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</row>
    <row r="190" spans="1:26" ht="32.4" x14ac:dyDescent="0.55000000000000004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</row>
    <row r="191" spans="1:26" ht="32.4" x14ac:dyDescent="0.55000000000000004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</row>
    <row r="192" spans="1:26" ht="32.4" x14ac:dyDescent="0.55000000000000004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</row>
    <row r="193" spans="1:26" ht="32.4" x14ac:dyDescent="0.55000000000000004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</row>
    <row r="194" spans="1:26" ht="32.4" x14ac:dyDescent="0.55000000000000004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</row>
    <row r="195" spans="1:26" ht="32.4" x14ac:dyDescent="0.55000000000000004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</row>
    <row r="196" spans="1:26" ht="32.4" x14ac:dyDescent="0.55000000000000004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</row>
    <row r="197" spans="1:26" ht="32.4" x14ac:dyDescent="0.55000000000000004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</row>
    <row r="198" spans="1:26" ht="32.4" x14ac:dyDescent="0.55000000000000004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</row>
    <row r="199" spans="1:26" ht="32.4" x14ac:dyDescent="0.55000000000000004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</row>
    <row r="200" spans="1:26" ht="32.4" x14ac:dyDescent="0.55000000000000004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</row>
    <row r="201" spans="1:26" ht="32.4" x14ac:dyDescent="0.55000000000000004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</row>
    <row r="202" spans="1:26" ht="32.4" x14ac:dyDescent="0.55000000000000004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</row>
    <row r="203" spans="1:26" ht="32.4" x14ac:dyDescent="0.55000000000000004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</row>
    <row r="204" spans="1:26" ht="32.4" x14ac:dyDescent="0.55000000000000004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</row>
    <row r="205" spans="1:26" ht="32.4" x14ac:dyDescent="0.55000000000000004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</row>
    <row r="206" spans="1:26" ht="32.4" x14ac:dyDescent="0.55000000000000004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</row>
    <row r="207" spans="1:26" ht="32.4" x14ac:dyDescent="0.55000000000000004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</row>
    <row r="208" spans="1:26" ht="32.4" x14ac:dyDescent="0.55000000000000004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</row>
    <row r="209" spans="1:26" ht="32.4" x14ac:dyDescent="0.55000000000000004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</row>
    <row r="210" spans="1:26" ht="32.4" x14ac:dyDescent="0.55000000000000004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</row>
    <row r="211" spans="1:26" ht="32.4" x14ac:dyDescent="0.55000000000000004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</row>
    <row r="212" spans="1:26" ht="32.4" x14ac:dyDescent="0.55000000000000004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</row>
    <row r="213" spans="1:26" ht="32.4" x14ac:dyDescent="0.55000000000000004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</row>
    <row r="214" spans="1:26" ht="32.4" x14ac:dyDescent="0.55000000000000004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</row>
    <row r="215" spans="1:26" ht="32.4" x14ac:dyDescent="0.55000000000000004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</row>
    <row r="216" spans="1:26" ht="32.4" x14ac:dyDescent="0.55000000000000004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</row>
    <row r="217" spans="1:26" ht="32.4" x14ac:dyDescent="0.55000000000000004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</row>
    <row r="218" spans="1:26" ht="32.4" x14ac:dyDescent="0.55000000000000004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</row>
    <row r="219" spans="1:26" ht="32.4" x14ac:dyDescent="0.55000000000000004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</row>
    <row r="220" spans="1:26" ht="32.4" x14ac:dyDescent="0.55000000000000004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</row>
    <row r="221" spans="1:26" ht="32.4" x14ac:dyDescent="0.55000000000000004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</row>
    <row r="222" spans="1:26" ht="32.4" x14ac:dyDescent="0.55000000000000004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</row>
    <row r="223" spans="1:26" ht="32.4" x14ac:dyDescent="0.55000000000000004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</row>
    <row r="224" spans="1:26" ht="32.4" x14ac:dyDescent="0.55000000000000004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</row>
    <row r="225" spans="1:26" ht="32.4" x14ac:dyDescent="0.55000000000000004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</row>
    <row r="226" spans="1:26" ht="32.4" x14ac:dyDescent="0.55000000000000004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</row>
    <row r="227" spans="1:26" ht="32.4" x14ac:dyDescent="0.55000000000000004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32.4" x14ac:dyDescent="0.55000000000000004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32.4" x14ac:dyDescent="0.55000000000000004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32.4" x14ac:dyDescent="0.55000000000000004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32.4" x14ac:dyDescent="0.55000000000000004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32.4" x14ac:dyDescent="0.55000000000000004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32.4" x14ac:dyDescent="0.55000000000000004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32.4" x14ac:dyDescent="0.55000000000000004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32.4" x14ac:dyDescent="0.55000000000000004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32.4" x14ac:dyDescent="0.55000000000000004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32.4" x14ac:dyDescent="0.55000000000000004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32.4" x14ac:dyDescent="0.55000000000000004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32.4" x14ac:dyDescent="0.55000000000000004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32.4" x14ac:dyDescent="0.55000000000000004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32.4" x14ac:dyDescent="0.55000000000000004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32.4" x14ac:dyDescent="0.55000000000000004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32.4" x14ac:dyDescent="0.55000000000000004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32.4" x14ac:dyDescent="0.55000000000000004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32.4" x14ac:dyDescent="0.55000000000000004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32.4" x14ac:dyDescent="0.55000000000000004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32.4" x14ac:dyDescent="0.55000000000000004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32.4" x14ac:dyDescent="0.55000000000000004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32.4" x14ac:dyDescent="0.55000000000000004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32.4" x14ac:dyDescent="0.55000000000000004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32.4" x14ac:dyDescent="0.55000000000000004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32.4" x14ac:dyDescent="0.55000000000000004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32.4" x14ac:dyDescent="0.55000000000000004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32.4" x14ac:dyDescent="0.55000000000000004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32.4" x14ac:dyDescent="0.55000000000000004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32.4" x14ac:dyDescent="0.55000000000000004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32.4" x14ac:dyDescent="0.55000000000000004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32.4" x14ac:dyDescent="0.55000000000000004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32.4" x14ac:dyDescent="0.55000000000000004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32.4" x14ac:dyDescent="0.55000000000000004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32.4" x14ac:dyDescent="0.55000000000000004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32.4" x14ac:dyDescent="0.55000000000000004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32.4" x14ac:dyDescent="0.55000000000000004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32.4" x14ac:dyDescent="0.55000000000000004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32.4" x14ac:dyDescent="0.55000000000000004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32.4" x14ac:dyDescent="0.55000000000000004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32.4" x14ac:dyDescent="0.55000000000000004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32.4" x14ac:dyDescent="0.55000000000000004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32.4" x14ac:dyDescent="0.55000000000000004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32.4" x14ac:dyDescent="0.55000000000000004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32.4" x14ac:dyDescent="0.55000000000000004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32.4" x14ac:dyDescent="0.55000000000000004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32.4" x14ac:dyDescent="0.55000000000000004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32.4" x14ac:dyDescent="0.55000000000000004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32.4" x14ac:dyDescent="0.55000000000000004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32.4" x14ac:dyDescent="0.55000000000000004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32.4" x14ac:dyDescent="0.55000000000000004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32.4" x14ac:dyDescent="0.55000000000000004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32.4" x14ac:dyDescent="0.55000000000000004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32.4" x14ac:dyDescent="0.55000000000000004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32.4" x14ac:dyDescent="0.55000000000000004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32.4" x14ac:dyDescent="0.55000000000000004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32.4" x14ac:dyDescent="0.55000000000000004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32.4" x14ac:dyDescent="0.55000000000000004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32.4" x14ac:dyDescent="0.55000000000000004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32.4" x14ac:dyDescent="0.55000000000000004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32.4" x14ac:dyDescent="0.55000000000000004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32.4" x14ac:dyDescent="0.55000000000000004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32.4" x14ac:dyDescent="0.55000000000000004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32.4" x14ac:dyDescent="0.55000000000000004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32.4" x14ac:dyDescent="0.55000000000000004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32.4" x14ac:dyDescent="0.55000000000000004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32.4" x14ac:dyDescent="0.55000000000000004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32.4" x14ac:dyDescent="0.55000000000000004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32.4" x14ac:dyDescent="0.55000000000000004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32.4" x14ac:dyDescent="0.55000000000000004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32.4" x14ac:dyDescent="0.55000000000000004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32.4" x14ac:dyDescent="0.55000000000000004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32.4" x14ac:dyDescent="0.55000000000000004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32.4" x14ac:dyDescent="0.55000000000000004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32.4" x14ac:dyDescent="0.55000000000000004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32.4" x14ac:dyDescent="0.55000000000000004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32.4" x14ac:dyDescent="0.55000000000000004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32.4" x14ac:dyDescent="0.55000000000000004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32.4" x14ac:dyDescent="0.55000000000000004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32.4" x14ac:dyDescent="0.55000000000000004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32.4" x14ac:dyDescent="0.55000000000000004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32.4" x14ac:dyDescent="0.55000000000000004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32.4" x14ac:dyDescent="0.55000000000000004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32.4" x14ac:dyDescent="0.55000000000000004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32.4" x14ac:dyDescent="0.55000000000000004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32.4" x14ac:dyDescent="0.55000000000000004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32.4" x14ac:dyDescent="0.55000000000000004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32.4" x14ac:dyDescent="0.55000000000000004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32.4" x14ac:dyDescent="0.55000000000000004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32.4" x14ac:dyDescent="0.55000000000000004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32.4" x14ac:dyDescent="0.55000000000000004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32.4" x14ac:dyDescent="0.55000000000000004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32.4" x14ac:dyDescent="0.55000000000000004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32.4" x14ac:dyDescent="0.55000000000000004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32.4" x14ac:dyDescent="0.55000000000000004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32.4" x14ac:dyDescent="0.55000000000000004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32.4" x14ac:dyDescent="0.55000000000000004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32.4" x14ac:dyDescent="0.55000000000000004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32.4" x14ac:dyDescent="0.55000000000000004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32.4" x14ac:dyDescent="0.55000000000000004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32.4" x14ac:dyDescent="0.55000000000000004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32.4" x14ac:dyDescent="0.55000000000000004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32.4" x14ac:dyDescent="0.55000000000000004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32.4" x14ac:dyDescent="0.55000000000000004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32.4" x14ac:dyDescent="0.55000000000000004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32.4" x14ac:dyDescent="0.55000000000000004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32.4" x14ac:dyDescent="0.55000000000000004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32.4" x14ac:dyDescent="0.55000000000000004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32.4" x14ac:dyDescent="0.55000000000000004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32.4" x14ac:dyDescent="0.55000000000000004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32.4" x14ac:dyDescent="0.55000000000000004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32.4" x14ac:dyDescent="0.55000000000000004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32.4" x14ac:dyDescent="0.55000000000000004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32.4" x14ac:dyDescent="0.55000000000000004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32.4" x14ac:dyDescent="0.55000000000000004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32.4" x14ac:dyDescent="0.55000000000000004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32.4" x14ac:dyDescent="0.55000000000000004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32.4" x14ac:dyDescent="0.55000000000000004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32.4" x14ac:dyDescent="0.55000000000000004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32.4" x14ac:dyDescent="0.55000000000000004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32.4" x14ac:dyDescent="0.55000000000000004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32.4" x14ac:dyDescent="0.55000000000000004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32.4" x14ac:dyDescent="0.55000000000000004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32.4" x14ac:dyDescent="0.55000000000000004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32.4" x14ac:dyDescent="0.55000000000000004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32.4" x14ac:dyDescent="0.55000000000000004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32.4" x14ac:dyDescent="0.55000000000000004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32.4" x14ac:dyDescent="0.55000000000000004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32.4" x14ac:dyDescent="0.55000000000000004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32.4" x14ac:dyDescent="0.55000000000000004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32.4" x14ac:dyDescent="0.55000000000000004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32.4" x14ac:dyDescent="0.55000000000000004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32.4" x14ac:dyDescent="0.55000000000000004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32.4" x14ac:dyDescent="0.55000000000000004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32.4" x14ac:dyDescent="0.55000000000000004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32.4" x14ac:dyDescent="0.55000000000000004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32.4" x14ac:dyDescent="0.55000000000000004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32.4" x14ac:dyDescent="0.55000000000000004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32.4" x14ac:dyDescent="0.55000000000000004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32.4" x14ac:dyDescent="0.55000000000000004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32.4" x14ac:dyDescent="0.55000000000000004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32.4" x14ac:dyDescent="0.55000000000000004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32.4" x14ac:dyDescent="0.55000000000000004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32.4" x14ac:dyDescent="0.55000000000000004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32.4" x14ac:dyDescent="0.55000000000000004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32.4" x14ac:dyDescent="0.55000000000000004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32.4" x14ac:dyDescent="0.55000000000000004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32.4" x14ac:dyDescent="0.55000000000000004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32.4" x14ac:dyDescent="0.55000000000000004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32.4" x14ac:dyDescent="0.55000000000000004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32.4" x14ac:dyDescent="0.55000000000000004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32.4" x14ac:dyDescent="0.55000000000000004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32.4" x14ac:dyDescent="0.55000000000000004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32.4" x14ac:dyDescent="0.55000000000000004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32.4" x14ac:dyDescent="0.55000000000000004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32.4" x14ac:dyDescent="0.55000000000000004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32.4" x14ac:dyDescent="0.55000000000000004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32.4" x14ac:dyDescent="0.55000000000000004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32.4" x14ac:dyDescent="0.55000000000000004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32.4" x14ac:dyDescent="0.55000000000000004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32.4" x14ac:dyDescent="0.55000000000000004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32.4" x14ac:dyDescent="0.55000000000000004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32.4" x14ac:dyDescent="0.55000000000000004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32.4" x14ac:dyDescent="0.55000000000000004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32.4" x14ac:dyDescent="0.55000000000000004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32.4" x14ac:dyDescent="0.55000000000000004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32.4" x14ac:dyDescent="0.55000000000000004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32.4" x14ac:dyDescent="0.55000000000000004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32.4" x14ac:dyDescent="0.55000000000000004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32.4" x14ac:dyDescent="0.55000000000000004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32.4" x14ac:dyDescent="0.55000000000000004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32.4" x14ac:dyDescent="0.55000000000000004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32.4" x14ac:dyDescent="0.55000000000000004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32.4" x14ac:dyDescent="0.55000000000000004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32.4" x14ac:dyDescent="0.55000000000000004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32.4" x14ac:dyDescent="0.55000000000000004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32.4" x14ac:dyDescent="0.55000000000000004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32.4" x14ac:dyDescent="0.55000000000000004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32.4" x14ac:dyDescent="0.55000000000000004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32.4" x14ac:dyDescent="0.55000000000000004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32.4" x14ac:dyDescent="0.55000000000000004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32.4" x14ac:dyDescent="0.55000000000000004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32.4" x14ac:dyDescent="0.55000000000000004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32.4" x14ac:dyDescent="0.55000000000000004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32.4" x14ac:dyDescent="0.55000000000000004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32.4" x14ac:dyDescent="0.55000000000000004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32.4" x14ac:dyDescent="0.55000000000000004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32.4" x14ac:dyDescent="0.55000000000000004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32.4" x14ac:dyDescent="0.55000000000000004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32.4" x14ac:dyDescent="0.55000000000000004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32.4" x14ac:dyDescent="0.55000000000000004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32.4" x14ac:dyDescent="0.55000000000000004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32.4" x14ac:dyDescent="0.55000000000000004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32.4" x14ac:dyDescent="0.55000000000000004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32.4" x14ac:dyDescent="0.55000000000000004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32.4" x14ac:dyDescent="0.55000000000000004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32.4" x14ac:dyDescent="0.55000000000000004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32.4" x14ac:dyDescent="0.55000000000000004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32.4" x14ac:dyDescent="0.55000000000000004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32.4" x14ac:dyDescent="0.55000000000000004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32.4" x14ac:dyDescent="0.55000000000000004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32.4" x14ac:dyDescent="0.55000000000000004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32.4" x14ac:dyDescent="0.55000000000000004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32.4" x14ac:dyDescent="0.55000000000000004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32.4" x14ac:dyDescent="0.55000000000000004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32.4" x14ac:dyDescent="0.55000000000000004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32.4" x14ac:dyDescent="0.55000000000000004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32.4" x14ac:dyDescent="0.55000000000000004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32.4" x14ac:dyDescent="0.55000000000000004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32.4" x14ac:dyDescent="0.55000000000000004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32.4" x14ac:dyDescent="0.55000000000000004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32.4" x14ac:dyDescent="0.55000000000000004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32.4" x14ac:dyDescent="0.55000000000000004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32.4" x14ac:dyDescent="0.55000000000000004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32.4" x14ac:dyDescent="0.55000000000000004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32.4" x14ac:dyDescent="0.55000000000000004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32.4" x14ac:dyDescent="0.55000000000000004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32.4" x14ac:dyDescent="0.55000000000000004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32.4" x14ac:dyDescent="0.55000000000000004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32.4" x14ac:dyDescent="0.55000000000000004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32.4" x14ac:dyDescent="0.55000000000000004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32.4" x14ac:dyDescent="0.55000000000000004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32.4" x14ac:dyDescent="0.55000000000000004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32.4" x14ac:dyDescent="0.55000000000000004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32.4" x14ac:dyDescent="0.55000000000000004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32.4" x14ac:dyDescent="0.55000000000000004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32.4" x14ac:dyDescent="0.55000000000000004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32.4" x14ac:dyDescent="0.55000000000000004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32.4" x14ac:dyDescent="0.55000000000000004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32.4" x14ac:dyDescent="0.55000000000000004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32.4" x14ac:dyDescent="0.55000000000000004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32.4" x14ac:dyDescent="0.55000000000000004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32.4" x14ac:dyDescent="0.55000000000000004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32.4" x14ac:dyDescent="0.55000000000000004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32.4" x14ac:dyDescent="0.55000000000000004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32.4" x14ac:dyDescent="0.55000000000000004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32.4" x14ac:dyDescent="0.55000000000000004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32.4" x14ac:dyDescent="0.55000000000000004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32.4" x14ac:dyDescent="0.55000000000000004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32.4" x14ac:dyDescent="0.55000000000000004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32.4" x14ac:dyDescent="0.55000000000000004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32.4" x14ac:dyDescent="0.55000000000000004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32.4" x14ac:dyDescent="0.55000000000000004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32.4" x14ac:dyDescent="0.55000000000000004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32.4" x14ac:dyDescent="0.55000000000000004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32.4" x14ac:dyDescent="0.55000000000000004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32.4" x14ac:dyDescent="0.55000000000000004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32.4" x14ac:dyDescent="0.55000000000000004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32.4" x14ac:dyDescent="0.55000000000000004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32.4" x14ac:dyDescent="0.55000000000000004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32.4" x14ac:dyDescent="0.55000000000000004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32.4" x14ac:dyDescent="0.55000000000000004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32.4" x14ac:dyDescent="0.55000000000000004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32.4" x14ac:dyDescent="0.55000000000000004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32.4" x14ac:dyDescent="0.55000000000000004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32.4" x14ac:dyDescent="0.55000000000000004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32.4" x14ac:dyDescent="0.55000000000000004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32.4" x14ac:dyDescent="0.55000000000000004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32.4" x14ac:dyDescent="0.55000000000000004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32.4" x14ac:dyDescent="0.55000000000000004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32.4" x14ac:dyDescent="0.55000000000000004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32.4" x14ac:dyDescent="0.55000000000000004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32.4" x14ac:dyDescent="0.55000000000000004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32.4" x14ac:dyDescent="0.55000000000000004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32.4" x14ac:dyDescent="0.55000000000000004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32.4" x14ac:dyDescent="0.55000000000000004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32.4" x14ac:dyDescent="0.55000000000000004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32.4" x14ac:dyDescent="0.55000000000000004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32.4" x14ac:dyDescent="0.55000000000000004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32.4" x14ac:dyDescent="0.55000000000000004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32.4" x14ac:dyDescent="0.55000000000000004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32.4" x14ac:dyDescent="0.55000000000000004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32.4" x14ac:dyDescent="0.55000000000000004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32.4" x14ac:dyDescent="0.55000000000000004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32.4" x14ac:dyDescent="0.55000000000000004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32.4" x14ac:dyDescent="0.55000000000000004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32.4" x14ac:dyDescent="0.55000000000000004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32.4" x14ac:dyDescent="0.55000000000000004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32.4" x14ac:dyDescent="0.55000000000000004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32.4" x14ac:dyDescent="0.55000000000000004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32.4" x14ac:dyDescent="0.55000000000000004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32.4" x14ac:dyDescent="0.55000000000000004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32.4" x14ac:dyDescent="0.55000000000000004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32.4" x14ac:dyDescent="0.55000000000000004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32.4" x14ac:dyDescent="0.55000000000000004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32.4" x14ac:dyDescent="0.55000000000000004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32.4" x14ac:dyDescent="0.55000000000000004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32.4" x14ac:dyDescent="0.55000000000000004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32.4" x14ac:dyDescent="0.55000000000000004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32.4" x14ac:dyDescent="0.55000000000000004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32.4" x14ac:dyDescent="0.55000000000000004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32.4" x14ac:dyDescent="0.55000000000000004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32.4" x14ac:dyDescent="0.55000000000000004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32.4" x14ac:dyDescent="0.55000000000000004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32.4" x14ac:dyDescent="0.55000000000000004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32.4" x14ac:dyDescent="0.55000000000000004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32.4" x14ac:dyDescent="0.55000000000000004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32.4" x14ac:dyDescent="0.55000000000000004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32.4" x14ac:dyDescent="0.55000000000000004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32.4" x14ac:dyDescent="0.55000000000000004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32.4" x14ac:dyDescent="0.55000000000000004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32.4" x14ac:dyDescent="0.55000000000000004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32.4" x14ac:dyDescent="0.55000000000000004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32.4" x14ac:dyDescent="0.55000000000000004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32.4" x14ac:dyDescent="0.55000000000000004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32.4" x14ac:dyDescent="0.55000000000000004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32.4" x14ac:dyDescent="0.55000000000000004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32.4" x14ac:dyDescent="0.55000000000000004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32.4" x14ac:dyDescent="0.55000000000000004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32.4" x14ac:dyDescent="0.55000000000000004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32.4" x14ac:dyDescent="0.55000000000000004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32.4" x14ac:dyDescent="0.55000000000000004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32.4" x14ac:dyDescent="0.55000000000000004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32.4" x14ac:dyDescent="0.55000000000000004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32.4" x14ac:dyDescent="0.55000000000000004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32.4" x14ac:dyDescent="0.55000000000000004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32.4" x14ac:dyDescent="0.55000000000000004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32.4" x14ac:dyDescent="0.55000000000000004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32.4" x14ac:dyDescent="0.55000000000000004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32.4" x14ac:dyDescent="0.55000000000000004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32.4" x14ac:dyDescent="0.55000000000000004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32.4" x14ac:dyDescent="0.55000000000000004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32.4" x14ac:dyDescent="0.55000000000000004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32.4" x14ac:dyDescent="0.55000000000000004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32.4" x14ac:dyDescent="0.55000000000000004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32.4" x14ac:dyDescent="0.55000000000000004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32.4" x14ac:dyDescent="0.55000000000000004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32.4" x14ac:dyDescent="0.55000000000000004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32.4" x14ac:dyDescent="0.55000000000000004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32.4" x14ac:dyDescent="0.55000000000000004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32.4" x14ac:dyDescent="0.55000000000000004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32.4" x14ac:dyDescent="0.55000000000000004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32.4" x14ac:dyDescent="0.55000000000000004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32.4" x14ac:dyDescent="0.55000000000000004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32.4" x14ac:dyDescent="0.55000000000000004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32.4" x14ac:dyDescent="0.55000000000000004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32.4" x14ac:dyDescent="0.55000000000000004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32.4" x14ac:dyDescent="0.55000000000000004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32.4" x14ac:dyDescent="0.55000000000000004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32.4" x14ac:dyDescent="0.55000000000000004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32.4" x14ac:dyDescent="0.55000000000000004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32.4" x14ac:dyDescent="0.55000000000000004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32.4" x14ac:dyDescent="0.55000000000000004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32.4" x14ac:dyDescent="0.55000000000000004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32.4" x14ac:dyDescent="0.55000000000000004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32.4" x14ac:dyDescent="0.55000000000000004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32.4" x14ac:dyDescent="0.55000000000000004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32.4" x14ac:dyDescent="0.55000000000000004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32.4" x14ac:dyDescent="0.55000000000000004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32.4" x14ac:dyDescent="0.55000000000000004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32.4" x14ac:dyDescent="0.55000000000000004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32.4" x14ac:dyDescent="0.55000000000000004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32.4" x14ac:dyDescent="0.55000000000000004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32.4" x14ac:dyDescent="0.55000000000000004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32.4" x14ac:dyDescent="0.55000000000000004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32.4" x14ac:dyDescent="0.55000000000000004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32.4" x14ac:dyDescent="0.55000000000000004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32.4" x14ac:dyDescent="0.55000000000000004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32.4" x14ac:dyDescent="0.55000000000000004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32.4" x14ac:dyDescent="0.55000000000000004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32.4" x14ac:dyDescent="0.55000000000000004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32.4" x14ac:dyDescent="0.55000000000000004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32.4" x14ac:dyDescent="0.55000000000000004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32.4" x14ac:dyDescent="0.55000000000000004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32.4" x14ac:dyDescent="0.55000000000000004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32.4" x14ac:dyDescent="0.55000000000000004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32.4" x14ac:dyDescent="0.55000000000000004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32.4" x14ac:dyDescent="0.55000000000000004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32.4" x14ac:dyDescent="0.55000000000000004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32.4" x14ac:dyDescent="0.55000000000000004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32.4" x14ac:dyDescent="0.55000000000000004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32.4" x14ac:dyDescent="0.55000000000000004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32.4" x14ac:dyDescent="0.55000000000000004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32.4" x14ac:dyDescent="0.55000000000000004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32.4" x14ac:dyDescent="0.55000000000000004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32.4" x14ac:dyDescent="0.55000000000000004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32.4" x14ac:dyDescent="0.55000000000000004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32.4" x14ac:dyDescent="0.55000000000000004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32.4" x14ac:dyDescent="0.55000000000000004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32.4" x14ac:dyDescent="0.55000000000000004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32.4" x14ac:dyDescent="0.55000000000000004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32.4" x14ac:dyDescent="0.55000000000000004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32.4" x14ac:dyDescent="0.55000000000000004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32.4" x14ac:dyDescent="0.55000000000000004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32.4" x14ac:dyDescent="0.55000000000000004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32.4" x14ac:dyDescent="0.55000000000000004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32.4" x14ac:dyDescent="0.55000000000000004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32.4" x14ac:dyDescent="0.55000000000000004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32.4" x14ac:dyDescent="0.55000000000000004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32.4" x14ac:dyDescent="0.55000000000000004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32.4" x14ac:dyDescent="0.55000000000000004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32.4" x14ac:dyDescent="0.55000000000000004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32.4" x14ac:dyDescent="0.55000000000000004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32.4" x14ac:dyDescent="0.55000000000000004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32.4" x14ac:dyDescent="0.55000000000000004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32.4" x14ac:dyDescent="0.55000000000000004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32.4" x14ac:dyDescent="0.55000000000000004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32.4" x14ac:dyDescent="0.55000000000000004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32.4" x14ac:dyDescent="0.55000000000000004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32.4" x14ac:dyDescent="0.55000000000000004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32.4" x14ac:dyDescent="0.55000000000000004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32.4" x14ac:dyDescent="0.55000000000000004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32.4" x14ac:dyDescent="0.55000000000000004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32.4" x14ac:dyDescent="0.55000000000000004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32.4" x14ac:dyDescent="0.55000000000000004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32.4" x14ac:dyDescent="0.55000000000000004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32.4" x14ac:dyDescent="0.55000000000000004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32.4" x14ac:dyDescent="0.55000000000000004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32.4" x14ac:dyDescent="0.55000000000000004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32.4" x14ac:dyDescent="0.55000000000000004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32.4" x14ac:dyDescent="0.55000000000000004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32.4" x14ac:dyDescent="0.55000000000000004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32.4" x14ac:dyDescent="0.55000000000000004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32.4" x14ac:dyDescent="0.55000000000000004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32.4" x14ac:dyDescent="0.55000000000000004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32.4" x14ac:dyDescent="0.55000000000000004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32.4" x14ac:dyDescent="0.55000000000000004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32.4" x14ac:dyDescent="0.55000000000000004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32.4" x14ac:dyDescent="0.55000000000000004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32.4" x14ac:dyDescent="0.55000000000000004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32.4" x14ac:dyDescent="0.55000000000000004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32.4" x14ac:dyDescent="0.55000000000000004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32.4" x14ac:dyDescent="0.55000000000000004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32.4" x14ac:dyDescent="0.55000000000000004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32.4" x14ac:dyDescent="0.55000000000000004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32.4" x14ac:dyDescent="0.55000000000000004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32.4" x14ac:dyDescent="0.55000000000000004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32.4" x14ac:dyDescent="0.55000000000000004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32.4" x14ac:dyDescent="0.55000000000000004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32.4" x14ac:dyDescent="0.55000000000000004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32.4" x14ac:dyDescent="0.55000000000000004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32.4" x14ac:dyDescent="0.55000000000000004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32.4" x14ac:dyDescent="0.55000000000000004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32.4" x14ac:dyDescent="0.55000000000000004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32.4" x14ac:dyDescent="0.55000000000000004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32.4" x14ac:dyDescent="0.55000000000000004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32.4" x14ac:dyDescent="0.55000000000000004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32.4" x14ac:dyDescent="0.55000000000000004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32.4" x14ac:dyDescent="0.55000000000000004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32.4" x14ac:dyDescent="0.55000000000000004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32.4" x14ac:dyDescent="0.55000000000000004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32.4" x14ac:dyDescent="0.55000000000000004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32.4" x14ac:dyDescent="0.55000000000000004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32.4" x14ac:dyDescent="0.55000000000000004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32.4" x14ac:dyDescent="0.55000000000000004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32.4" x14ac:dyDescent="0.55000000000000004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32.4" x14ac:dyDescent="0.55000000000000004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32.4" x14ac:dyDescent="0.55000000000000004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32.4" x14ac:dyDescent="0.55000000000000004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32.4" x14ac:dyDescent="0.55000000000000004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32.4" x14ac:dyDescent="0.55000000000000004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32.4" x14ac:dyDescent="0.55000000000000004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32.4" x14ac:dyDescent="0.55000000000000004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32.4" x14ac:dyDescent="0.55000000000000004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32.4" x14ac:dyDescent="0.55000000000000004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32.4" x14ac:dyDescent="0.55000000000000004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32.4" x14ac:dyDescent="0.55000000000000004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32.4" x14ac:dyDescent="0.55000000000000004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32.4" x14ac:dyDescent="0.55000000000000004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32.4" x14ac:dyDescent="0.55000000000000004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32.4" x14ac:dyDescent="0.55000000000000004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32.4" x14ac:dyDescent="0.55000000000000004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32.4" x14ac:dyDescent="0.55000000000000004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32.4" x14ac:dyDescent="0.55000000000000004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32.4" x14ac:dyDescent="0.55000000000000004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32.4" x14ac:dyDescent="0.55000000000000004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32.4" x14ac:dyDescent="0.55000000000000004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32.4" x14ac:dyDescent="0.55000000000000004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32.4" x14ac:dyDescent="0.55000000000000004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32.4" x14ac:dyDescent="0.55000000000000004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32.4" x14ac:dyDescent="0.55000000000000004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32.4" x14ac:dyDescent="0.55000000000000004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32.4" x14ac:dyDescent="0.55000000000000004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32.4" x14ac:dyDescent="0.55000000000000004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32.4" x14ac:dyDescent="0.55000000000000004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32.4" x14ac:dyDescent="0.55000000000000004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32.4" x14ac:dyDescent="0.55000000000000004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32.4" x14ac:dyDescent="0.55000000000000004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32.4" x14ac:dyDescent="0.55000000000000004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32.4" x14ac:dyDescent="0.55000000000000004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32.4" x14ac:dyDescent="0.55000000000000004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32.4" x14ac:dyDescent="0.55000000000000004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32.4" x14ac:dyDescent="0.55000000000000004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32.4" x14ac:dyDescent="0.55000000000000004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32.4" x14ac:dyDescent="0.55000000000000004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32.4" x14ac:dyDescent="0.55000000000000004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32.4" x14ac:dyDescent="0.55000000000000004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32.4" x14ac:dyDescent="0.55000000000000004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32.4" x14ac:dyDescent="0.55000000000000004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32.4" x14ac:dyDescent="0.55000000000000004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32.4" x14ac:dyDescent="0.55000000000000004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32.4" x14ac:dyDescent="0.55000000000000004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32.4" x14ac:dyDescent="0.55000000000000004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32.4" x14ac:dyDescent="0.55000000000000004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32.4" x14ac:dyDescent="0.55000000000000004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32.4" x14ac:dyDescent="0.55000000000000004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32.4" x14ac:dyDescent="0.55000000000000004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32.4" x14ac:dyDescent="0.55000000000000004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32.4" x14ac:dyDescent="0.55000000000000004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32.4" x14ac:dyDescent="0.55000000000000004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32.4" x14ac:dyDescent="0.55000000000000004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32.4" x14ac:dyDescent="0.55000000000000004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32.4" x14ac:dyDescent="0.55000000000000004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32.4" x14ac:dyDescent="0.55000000000000004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32.4" x14ac:dyDescent="0.55000000000000004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32.4" x14ac:dyDescent="0.55000000000000004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32.4" x14ac:dyDescent="0.55000000000000004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32.4" x14ac:dyDescent="0.55000000000000004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32.4" x14ac:dyDescent="0.55000000000000004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32.4" x14ac:dyDescent="0.55000000000000004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32.4" x14ac:dyDescent="0.55000000000000004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32.4" x14ac:dyDescent="0.55000000000000004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32.4" x14ac:dyDescent="0.55000000000000004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32.4" x14ac:dyDescent="0.55000000000000004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32.4" x14ac:dyDescent="0.55000000000000004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32.4" x14ac:dyDescent="0.55000000000000004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32.4" x14ac:dyDescent="0.55000000000000004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32.4" x14ac:dyDescent="0.55000000000000004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32.4" x14ac:dyDescent="0.55000000000000004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32.4" x14ac:dyDescent="0.55000000000000004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32.4" x14ac:dyDescent="0.55000000000000004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32.4" x14ac:dyDescent="0.55000000000000004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32.4" x14ac:dyDescent="0.55000000000000004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32.4" x14ac:dyDescent="0.55000000000000004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32.4" x14ac:dyDescent="0.55000000000000004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32.4" x14ac:dyDescent="0.55000000000000004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32.4" x14ac:dyDescent="0.55000000000000004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32.4" x14ac:dyDescent="0.55000000000000004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32.4" x14ac:dyDescent="0.55000000000000004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32.4" x14ac:dyDescent="0.55000000000000004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32.4" x14ac:dyDescent="0.55000000000000004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32.4" x14ac:dyDescent="0.55000000000000004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32.4" x14ac:dyDescent="0.55000000000000004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32.4" x14ac:dyDescent="0.55000000000000004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32.4" x14ac:dyDescent="0.55000000000000004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32.4" x14ac:dyDescent="0.55000000000000004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32.4" x14ac:dyDescent="0.55000000000000004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32.4" x14ac:dyDescent="0.55000000000000004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32.4" x14ac:dyDescent="0.55000000000000004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32.4" x14ac:dyDescent="0.55000000000000004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32.4" x14ac:dyDescent="0.55000000000000004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32.4" x14ac:dyDescent="0.55000000000000004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32.4" x14ac:dyDescent="0.55000000000000004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32.4" x14ac:dyDescent="0.55000000000000004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32.4" x14ac:dyDescent="0.55000000000000004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32.4" x14ac:dyDescent="0.55000000000000004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32.4" x14ac:dyDescent="0.55000000000000004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32.4" x14ac:dyDescent="0.55000000000000004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32.4" x14ac:dyDescent="0.55000000000000004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32.4" x14ac:dyDescent="0.55000000000000004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32.4" x14ac:dyDescent="0.55000000000000004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32.4" x14ac:dyDescent="0.55000000000000004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32.4" x14ac:dyDescent="0.55000000000000004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32.4" x14ac:dyDescent="0.55000000000000004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32.4" x14ac:dyDescent="0.55000000000000004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32.4" x14ac:dyDescent="0.55000000000000004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32.4" x14ac:dyDescent="0.55000000000000004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32.4" x14ac:dyDescent="0.55000000000000004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32.4" x14ac:dyDescent="0.55000000000000004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32.4" x14ac:dyDescent="0.55000000000000004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32.4" x14ac:dyDescent="0.55000000000000004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32.4" x14ac:dyDescent="0.55000000000000004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32.4" x14ac:dyDescent="0.55000000000000004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32.4" x14ac:dyDescent="0.55000000000000004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32.4" x14ac:dyDescent="0.55000000000000004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32.4" x14ac:dyDescent="0.55000000000000004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32.4" x14ac:dyDescent="0.55000000000000004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32.4" x14ac:dyDescent="0.55000000000000004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32.4" x14ac:dyDescent="0.55000000000000004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32.4" x14ac:dyDescent="0.55000000000000004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32.4" x14ac:dyDescent="0.55000000000000004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32.4" x14ac:dyDescent="0.55000000000000004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32.4" x14ac:dyDescent="0.55000000000000004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32.4" x14ac:dyDescent="0.55000000000000004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32.4" x14ac:dyDescent="0.55000000000000004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32.4" x14ac:dyDescent="0.55000000000000004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32.4" x14ac:dyDescent="0.55000000000000004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32.4" x14ac:dyDescent="0.55000000000000004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32.4" x14ac:dyDescent="0.55000000000000004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32.4" x14ac:dyDescent="0.55000000000000004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32.4" x14ac:dyDescent="0.55000000000000004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32.4" x14ac:dyDescent="0.55000000000000004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32.4" x14ac:dyDescent="0.55000000000000004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32.4" x14ac:dyDescent="0.55000000000000004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32.4" x14ac:dyDescent="0.55000000000000004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32.4" x14ac:dyDescent="0.55000000000000004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32.4" x14ac:dyDescent="0.55000000000000004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32.4" x14ac:dyDescent="0.55000000000000004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32.4" x14ac:dyDescent="0.55000000000000004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32.4" x14ac:dyDescent="0.55000000000000004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32.4" x14ac:dyDescent="0.55000000000000004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32.4" x14ac:dyDescent="0.55000000000000004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32.4" x14ac:dyDescent="0.55000000000000004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32.4" x14ac:dyDescent="0.55000000000000004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32.4" x14ac:dyDescent="0.55000000000000004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32.4" x14ac:dyDescent="0.55000000000000004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32.4" x14ac:dyDescent="0.55000000000000004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32.4" x14ac:dyDescent="0.55000000000000004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32.4" x14ac:dyDescent="0.55000000000000004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32.4" x14ac:dyDescent="0.55000000000000004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32.4" x14ac:dyDescent="0.55000000000000004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32.4" x14ac:dyDescent="0.55000000000000004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32.4" x14ac:dyDescent="0.55000000000000004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32.4" x14ac:dyDescent="0.55000000000000004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32.4" x14ac:dyDescent="0.55000000000000004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32.4" x14ac:dyDescent="0.55000000000000004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32.4" x14ac:dyDescent="0.55000000000000004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32.4" x14ac:dyDescent="0.55000000000000004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32.4" x14ac:dyDescent="0.55000000000000004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32.4" x14ac:dyDescent="0.55000000000000004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32.4" x14ac:dyDescent="0.55000000000000004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32.4" x14ac:dyDescent="0.55000000000000004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32.4" x14ac:dyDescent="0.55000000000000004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32.4" x14ac:dyDescent="0.55000000000000004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32.4" x14ac:dyDescent="0.55000000000000004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32.4" x14ac:dyDescent="0.55000000000000004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32.4" x14ac:dyDescent="0.55000000000000004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32.4" x14ac:dyDescent="0.55000000000000004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32.4" x14ac:dyDescent="0.55000000000000004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32.4" x14ac:dyDescent="0.55000000000000004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32.4" x14ac:dyDescent="0.55000000000000004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32.4" x14ac:dyDescent="0.55000000000000004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32.4" x14ac:dyDescent="0.55000000000000004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32.4" x14ac:dyDescent="0.55000000000000004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32.4" x14ac:dyDescent="0.55000000000000004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32.4" x14ac:dyDescent="0.55000000000000004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32.4" x14ac:dyDescent="0.55000000000000004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32.4" x14ac:dyDescent="0.55000000000000004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32.4" x14ac:dyDescent="0.55000000000000004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32.4" x14ac:dyDescent="0.55000000000000004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32.4" x14ac:dyDescent="0.55000000000000004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32.4" x14ac:dyDescent="0.55000000000000004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32.4" x14ac:dyDescent="0.55000000000000004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32.4" x14ac:dyDescent="0.55000000000000004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32.4" x14ac:dyDescent="0.55000000000000004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32.4" x14ac:dyDescent="0.55000000000000004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32.4" x14ac:dyDescent="0.55000000000000004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32.4" x14ac:dyDescent="0.55000000000000004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32.4" x14ac:dyDescent="0.55000000000000004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32.4" x14ac:dyDescent="0.55000000000000004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32.4" x14ac:dyDescent="0.55000000000000004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32.4" x14ac:dyDescent="0.55000000000000004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32.4" x14ac:dyDescent="0.55000000000000004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32.4" x14ac:dyDescent="0.55000000000000004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32.4" x14ac:dyDescent="0.55000000000000004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32.4" x14ac:dyDescent="0.55000000000000004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32.4" x14ac:dyDescent="0.55000000000000004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32.4" x14ac:dyDescent="0.55000000000000004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32.4" x14ac:dyDescent="0.55000000000000004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32.4" x14ac:dyDescent="0.55000000000000004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32.4" x14ac:dyDescent="0.55000000000000004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32.4" x14ac:dyDescent="0.55000000000000004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32.4" x14ac:dyDescent="0.55000000000000004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32.4" x14ac:dyDescent="0.55000000000000004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32.4" x14ac:dyDescent="0.55000000000000004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32.4" x14ac:dyDescent="0.55000000000000004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32.4" x14ac:dyDescent="0.55000000000000004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32.4" x14ac:dyDescent="0.55000000000000004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32.4" x14ac:dyDescent="0.55000000000000004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32.4" x14ac:dyDescent="0.55000000000000004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32.4" x14ac:dyDescent="0.55000000000000004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32.4" x14ac:dyDescent="0.55000000000000004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32.4" x14ac:dyDescent="0.55000000000000004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32.4" x14ac:dyDescent="0.55000000000000004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32.4" x14ac:dyDescent="0.55000000000000004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32.4" x14ac:dyDescent="0.55000000000000004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32.4" x14ac:dyDescent="0.55000000000000004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32.4" x14ac:dyDescent="0.55000000000000004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32.4" x14ac:dyDescent="0.55000000000000004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32.4" x14ac:dyDescent="0.55000000000000004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32.4" x14ac:dyDescent="0.55000000000000004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32.4" x14ac:dyDescent="0.55000000000000004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32.4" x14ac:dyDescent="0.55000000000000004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32.4" x14ac:dyDescent="0.55000000000000004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32.4" x14ac:dyDescent="0.55000000000000004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32.4" x14ac:dyDescent="0.55000000000000004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32.4" x14ac:dyDescent="0.55000000000000004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32.4" x14ac:dyDescent="0.55000000000000004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32.4" x14ac:dyDescent="0.55000000000000004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32.4" x14ac:dyDescent="0.55000000000000004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32.4" x14ac:dyDescent="0.55000000000000004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32.4" x14ac:dyDescent="0.55000000000000004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32.4" x14ac:dyDescent="0.55000000000000004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32.4" x14ac:dyDescent="0.55000000000000004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32.4" x14ac:dyDescent="0.55000000000000004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32.4" x14ac:dyDescent="0.55000000000000004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32.4" x14ac:dyDescent="0.55000000000000004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32.4" x14ac:dyDescent="0.55000000000000004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32.4" x14ac:dyDescent="0.55000000000000004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32.4" x14ac:dyDescent="0.55000000000000004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32.4" x14ac:dyDescent="0.55000000000000004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32.4" x14ac:dyDescent="0.55000000000000004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32.4" x14ac:dyDescent="0.55000000000000004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32.4" x14ac:dyDescent="0.55000000000000004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32.4" x14ac:dyDescent="0.55000000000000004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32.4" x14ac:dyDescent="0.55000000000000004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32.4" x14ac:dyDescent="0.55000000000000004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32.4" x14ac:dyDescent="0.55000000000000004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32.4" x14ac:dyDescent="0.55000000000000004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32.4" x14ac:dyDescent="0.55000000000000004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32.4" x14ac:dyDescent="0.55000000000000004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32.4" x14ac:dyDescent="0.55000000000000004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32.4" x14ac:dyDescent="0.55000000000000004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32.4" x14ac:dyDescent="0.55000000000000004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32.4" x14ac:dyDescent="0.55000000000000004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32.4" x14ac:dyDescent="0.55000000000000004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32.4" x14ac:dyDescent="0.55000000000000004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32.4" x14ac:dyDescent="0.55000000000000004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32.4" x14ac:dyDescent="0.55000000000000004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32.4" x14ac:dyDescent="0.55000000000000004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32.4" x14ac:dyDescent="0.55000000000000004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32.4" x14ac:dyDescent="0.55000000000000004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32.4" x14ac:dyDescent="0.55000000000000004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32.4" x14ac:dyDescent="0.55000000000000004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32.4" x14ac:dyDescent="0.55000000000000004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32.4" x14ac:dyDescent="0.55000000000000004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32.4" x14ac:dyDescent="0.55000000000000004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32.4" x14ac:dyDescent="0.55000000000000004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32.4" x14ac:dyDescent="0.55000000000000004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32.4" x14ac:dyDescent="0.55000000000000004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32.4" x14ac:dyDescent="0.55000000000000004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32.4" x14ac:dyDescent="0.55000000000000004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32.4" x14ac:dyDescent="0.55000000000000004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32.4" x14ac:dyDescent="0.55000000000000004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32.4" x14ac:dyDescent="0.55000000000000004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32.4" x14ac:dyDescent="0.55000000000000004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32.4" x14ac:dyDescent="0.55000000000000004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32.4" x14ac:dyDescent="0.55000000000000004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32.4" x14ac:dyDescent="0.55000000000000004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32.4" x14ac:dyDescent="0.55000000000000004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32.4" x14ac:dyDescent="0.55000000000000004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32.4" x14ac:dyDescent="0.55000000000000004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32.4" x14ac:dyDescent="0.55000000000000004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32.4" x14ac:dyDescent="0.55000000000000004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32.4" x14ac:dyDescent="0.55000000000000004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32.4" x14ac:dyDescent="0.55000000000000004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32.4" x14ac:dyDescent="0.55000000000000004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32.4" x14ac:dyDescent="0.55000000000000004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32.4" x14ac:dyDescent="0.55000000000000004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32.4" x14ac:dyDescent="0.55000000000000004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32.4" x14ac:dyDescent="0.55000000000000004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32.4" x14ac:dyDescent="0.55000000000000004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32.4" x14ac:dyDescent="0.55000000000000004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32.4" x14ac:dyDescent="0.55000000000000004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32.4" x14ac:dyDescent="0.55000000000000004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32.4" x14ac:dyDescent="0.55000000000000004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32.4" x14ac:dyDescent="0.55000000000000004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32.4" x14ac:dyDescent="0.55000000000000004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32.4" x14ac:dyDescent="0.55000000000000004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32.4" x14ac:dyDescent="0.55000000000000004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32.4" x14ac:dyDescent="0.55000000000000004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32.4" x14ac:dyDescent="0.55000000000000004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32.4" x14ac:dyDescent="0.55000000000000004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32.4" x14ac:dyDescent="0.55000000000000004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32.4" x14ac:dyDescent="0.55000000000000004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32.4" x14ac:dyDescent="0.55000000000000004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32.4" x14ac:dyDescent="0.55000000000000004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32.4" x14ac:dyDescent="0.55000000000000004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32.4" x14ac:dyDescent="0.55000000000000004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32.4" x14ac:dyDescent="0.55000000000000004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32.4" x14ac:dyDescent="0.55000000000000004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32.4" x14ac:dyDescent="0.55000000000000004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32.4" x14ac:dyDescent="0.55000000000000004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32.4" x14ac:dyDescent="0.55000000000000004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32.4" x14ac:dyDescent="0.55000000000000004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32.4" x14ac:dyDescent="0.55000000000000004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32.4" x14ac:dyDescent="0.55000000000000004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32.4" x14ac:dyDescent="0.55000000000000004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32.4" x14ac:dyDescent="0.55000000000000004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32.4" x14ac:dyDescent="0.55000000000000004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32.4" x14ac:dyDescent="0.55000000000000004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32.4" x14ac:dyDescent="0.55000000000000004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32.4" x14ac:dyDescent="0.55000000000000004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32.4" x14ac:dyDescent="0.55000000000000004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4">
    <mergeCell ref="A1:D1"/>
    <mergeCell ref="A12:C12"/>
    <mergeCell ref="A13:C13"/>
    <mergeCell ref="A14:C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THU CHI CỦA ĐỨC</vt:lpstr>
      <vt:lpstr>THU CHI CỦA HUY</vt:lpstr>
      <vt:lpstr>KIỂM TRA TIỀN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nguyenhoanghuyprocoder@gmail.com</dc:creator>
  <cp:lastModifiedBy>nguyenhoanghuyprocoder@gmail.com</cp:lastModifiedBy>
  <dcterms:created xsi:type="dcterms:W3CDTF">2025-06-06T15:03:49Z</dcterms:created>
  <dcterms:modified xsi:type="dcterms:W3CDTF">2025-06-10T15:11:25Z</dcterms:modified>
</cp:coreProperties>
</file>