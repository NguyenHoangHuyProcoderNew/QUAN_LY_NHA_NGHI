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QUAN LY NHA NGHI\QUAN LY NHAN VIEN\"/>
    </mc:Choice>
  </mc:AlternateContent>
  <xr:revisionPtr revIDLastSave="0" documentId="13_ncr:1_{1E8161E6-68F9-46E5-AD43-1C5C792C4F0B}" xr6:coauthVersionLast="47" xr6:coauthVersionMax="47" xr10:uidLastSave="{00000000-0000-0000-0000-000000000000}"/>
  <bookViews>
    <workbookView xWindow="-28920" yWindow="-120" windowWidth="29040" windowHeight="15720" activeTab="1" xr2:uid="{BAFAE292-28F9-4337-ACD6-A8CE57E8B803}"/>
  </bookViews>
  <sheets>
    <sheet name="TÂM &amp; TÍN" sheetId="2" r:id="rId1"/>
    <sheet name="CHỊ THANH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7" i="4" l="1"/>
  <c r="AN7" i="4"/>
  <c r="AN7" i="2"/>
  <c r="AM7" i="4"/>
  <c r="AM7" i="2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G6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G5" i="4"/>
  <c r="AL7" i="4"/>
  <c r="D7" i="4"/>
  <c r="G5" i="2"/>
  <c r="H5" i="2" s="1"/>
  <c r="I5" i="2" s="1"/>
  <c r="J5" i="2" s="1"/>
  <c r="K5" i="2" s="1"/>
  <c r="L5" i="2" s="1"/>
  <c r="M5" i="2" s="1"/>
  <c r="N5" i="2" s="1"/>
  <c r="O5" i="2" s="1"/>
  <c r="P5" i="2" s="1"/>
  <c r="Q5" i="2" s="1"/>
  <c r="R5" i="2" s="1"/>
  <c r="S5" i="2" s="1"/>
  <c r="T5" i="2" s="1"/>
  <c r="U5" i="2" s="1"/>
  <c r="V5" i="2" s="1"/>
  <c r="W5" i="2" s="1"/>
  <c r="X5" i="2" s="1"/>
  <c r="Y5" i="2" s="1"/>
  <c r="Z5" i="2" s="1"/>
  <c r="AA5" i="2" s="1"/>
  <c r="AB5" i="2" s="1"/>
  <c r="AC5" i="2" s="1"/>
  <c r="AD5" i="2" s="1"/>
  <c r="AE5" i="2" s="1"/>
  <c r="AF5" i="2" s="1"/>
  <c r="AO7" i="2"/>
  <c r="AL7" i="2"/>
  <c r="E7" i="2"/>
  <c r="AQ7" i="4" l="1"/>
  <c r="AP7" i="4"/>
  <c r="AQ7" i="2"/>
  <c r="AP7" i="2"/>
  <c r="AG5" i="2"/>
  <c r="AH5" i="2" s="1"/>
  <c r="AE6" i="2"/>
  <c r="R6" i="2"/>
  <c r="O6" i="2"/>
  <c r="Q6" i="2"/>
  <c r="AA6" i="2"/>
  <c r="S6" i="2"/>
  <c r="L6" i="2"/>
  <c r="AD6" i="2"/>
  <c r="AC6" i="2"/>
  <c r="P6" i="2"/>
  <c r="G6" i="2"/>
  <c r="N6" i="2"/>
  <c r="Y6" i="2"/>
  <c r="W6" i="2"/>
  <c r="K6" i="2"/>
  <c r="V6" i="2"/>
  <c r="J6" i="2"/>
  <c r="AB6" i="2"/>
  <c r="Z6" i="2"/>
  <c r="M6" i="2"/>
  <c r="X6" i="2"/>
  <c r="U6" i="2"/>
  <c r="I6" i="2"/>
  <c r="AF6" i="2"/>
  <c r="T6" i="2"/>
  <c r="H6" i="2"/>
  <c r="AG6" i="2" l="1"/>
  <c r="AH6" i="2"/>
  <c r="AI5" i="2"/>
  <c r="AJ5" i="2" s="1"/>
  <c r="AK5" i="2" s="1"/>
  <c r="AI6" i="2" l="1"/>
  <c r="AJ6" i="2"/>
  <c r="AK6" i="2"/>
  <c r="AK6" i="4" l="1"/>
</calcChain>
</file>

<file path=xl/sharedStrings.xml><?xml version="1.0" encoding="utf-8"?>
<sst xmlns="http://schemas.openxmlformats.org/spreadsheetml/2006/main" count="60" uniqueCount="33">
  <si>
    <t>Mã NV</t>
  </si>
  <si>
    <t>Tháng</t>
  </si>
  <si>
    <t>STT</t>
  </si>
  <si>
    <t>Tên NV</t>
  </si>
  <si>
    <t>Năm</t>
  </si>
  <si>
    <t>Lương/ ngày</t>
  </si>
  <si>
    <t>TỔNG
CÔNG</t>
  </si>
  <si>
    <t>Quy tắc:</t>
  </si>
  <si>
    <t>Đủ công</t>
  </si>
  <si>
    <t>x</t>
  </si>
  <si>
    <t>Không lương</t>
  </si>
  <si>
    <t>KL</t>
  </si>
  <si>
    <t>BẢNG LƯƠNG &amp; CHẤM CÔNG - NHÂN VIÊN NHÀ NGHỈ HUY ĐỨC</t>
  </si>
  <si>
    <t>BẢNG CHẤM CÔNG</t>
  </si>
  <si>
    <t>Phạt</t>
  </si>
  <si>
    <t>Ứng</t>
  </si>
  <si>
    <t>LOẠI GIAO DỊCH</t>
  </si>
  <si>
    <t>GHI CHÚ</t>
  </si>
  <si>
    <t>Trả lương</t>
  </si>
  <si>
    <t>TỔNG
PHẠT</t>
  </si>
  <si>
    <t>TỔNG
ỨNG</t>
  </si>
  <si>
    <t>ĐÃ
TRẢ</t>
  </si>
  <si>
    <t>CÓ 
THỂ 
NHẬN</t>
  </si>
  <si>
    <t>CÒN 
LẠI</t>
  </si>
  <si>
    <t>Lương/tháng</t>
  </si>
  <si>
    <t>THỜI GIAN</t>
  </si>
  <si>
    <t>TAMTIN</t>
  </si>
  <si>
    <t>Nguyễn Thành Tâm
Nguyễn Trọng Tín</t>
  </si>
  <si>
    <t>Ngày</t>
  </si>
  <si>
    <t>PHẠM MỸ THANH</t>
  </si>
  <si>
    <t>BẢNG LƯƠNG</t>
  </si>
  <si>
    <t>BẢNG LƯƠNG &amp; CHẤM CÔNG - PHẠM MỸ THANH</t>
  </si>
  <si>
    <t>Tính từ ngày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</si>
</sst>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hh:mm:ss\ dd/mm/yyyy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u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3" fontId="1" fillId="0" borderId="0" xfId="0" applyNumberFormat="1" applyFont="1"/>
    <xf numFmtId="3" fontId="1" fillId="0" borderId="0" xfId="0" applyNumberFormat="1" applyFont="1" applyAlignment="1">
      <alignment horizontal="center"/>
    </xf>
    <xf numFmtId="0" fontId="1" fillId="5" borderId="1" xfId="0" applyFont="1" applyFill="1" applyBorder="1"/>
    <xf numFmtId="0" fontId="1" fillId="5" borderId="1" xfId="0" applyFont="1" applyFill="1" applyBorder="1" applyAlignment="1">
      <alignment horizontal="center" vertical="center"/>
    </xf>
    <xf numFmtId="0" fontId="3" fillId="5" borderId="5" xfId="0" applyFont="1" applyFill="1" applyBorder="1"/>
    <xf numFmtId="0" fontId="1" fillId="5" borderId="5" xfId="0" applyFont="1" applyFill="1" applyBorder="1"/>
    <xf numFmtId="3" fontId="1" fillId="0" borderId="1" xfId="0" applyNumberFormat="1" applyFont="1" applyBorder="1" applyAlignment="1">
      <alignment horizontal="center"/>
    </xf>
    <xf numFmtId="1" fontId="2" fillId="4" borderId="0" xfId="0" applyNumberFormat="1" applyFont="1" applyFill="1" applyAlignment="1">
      <alignment horizontal="center"/>
    </xf>
    <xf numFmtId="3" fontId="2" fillId="7" borderId="1" xfId="0" applyNumberFormat="1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4" xfId="0" applyFont="1" applyFill="1" applyBorder="1" applyAlignment="1">
      <alignment vertical="center"/>
    </xf>
    <xf numFmtId="0" fontId="1" fillId="5" borderId="4" xfId="0" applyFont="1" applyFill="1" applyBorder="1" applyAlignment="1">
      <alignment horizontal="center" vertical="center"/>
    </xf>
    <xf numFmtId="3" fontId="2" fillId="0" borderId="0" xfId="0" applyNumberFormat="1" applyFont="1" applyAlignment="1">
      <alignment horizontal="center"/>
    </xf>
    <xf numFmtId="3" fontId="1" fillId="0" borderId="1" xfId="0" applyNumberFormat="1" applyFont="1" applyBorder="1" applyAlignment="1">
      <alignment horizontal="center" vertical="center"/>
    </xf>
    <xf numFmtId="3" fontId="1" fillId="0" borderId="0" xfId="0" applyNumberFormat="1" applyFont="1" applyAlignment="1">
      <alignment horizontal="left" wrapText="1"/>
    </xf>
    <xf numFmtId="3" fontId="1" fillId="0" borderId="3" xfId="0" applyNumberFormat="1" applyFont="1" applyBorder="1" applyAlignment="1">
      <alignment horizontal="left" wrapText="1"/>
    </xf>
    <xf numFmtId="3" fontId="1" fillId="0" borderId="1" xfId="0" applyNumberFormat="1" applyFont="1" applyBorder="1" applyAlignment="1">
      <alignment horizontal="left" wrapText="1"/>
    </xf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0" fontId="5" fillId="0" borderId="0" xfId="0" applyFont="1"/>
    <xf numFmtId="3" fontId="1" fillId="0" borderId="1" xfId="0" applyNumberFormat="1" applyFont="1" applyBorder="1" applyAlignment="1">
      <alignment horizontal="center" vertical="center" wrapText="1"/>
    </xf>
    <xf numFmtId="3" fontId="1" fillId="0" borderId="1" xfId="0" applyNumberFormat="1" applyFont="1" applyBorder="1" applyAlignment="1">
      <alignment vertical="center"/>
    </xf>
    <xf numFmtId="0" fontId="1" fillId="0" borderId="0" xfId="0" applyFont="1" applyAlignment="1">
      <alignment vertical="center"/>
    </xf>
    <xf numFmtId="165" fontId="1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left" wrapText="1"/>
    </xf>
    <xf numFmtId="165" fontId="2" fillId="0" borderId="0" xfId="0" applyNumberFormat="1" applyFont="1" applyAlignment="1">
      <alignment horizontal="center" vertical="center"/>
    </xf>
    <xf numFmtId="0" fontId="3" fillId="0" borderId="0" xfId="0" applyFont="1"/>
    <xf numFmtId="164" fontId="1" fillId="0" borderId="5" xfId="0" applyNumberFormat="1" applyFont="1" applyBorder="1" applyAlignment="1">
      <alignment horizontal="center" vertical="center"/>
    </xf>
    <xf numFmtId="0" fontId="6" fillId="0" borderId="1" xfId="0" applyFont="1" applyBorder="1"/>
    <xf numFmtId="1" fontId="6" fillId="3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1" fontId="2" fillId="4" borderId="1" xfId="0" applyNumberFormat="1" applyFont="1" applyFill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/>
    </xf>
    <xf numFmtId="1" fontId="2" fillId="4" borderId="1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3" fontId="2" fillId="0" borderId="4" xfId="0" applyNumberFormat="1" applyFont="1" applyBorder="1" applyAlignment="1">
      <alignment horizontal="left" vertical="center"/>
    </xf>
    <xf numFmtId="3" fontId="2" fillId="3" borderId="1" xfId="0" applyNumberFormat="1" applyFont="1" applyFill="1" applyBorder="1" applyAlignment="1">
      <alignment horizontal="center" vertical="center" wrapText="1"/>
    </xf>
    <xf numFmtId="3" fontId="2" fillId="3" borderId="1" xfId="0" applyNumberFormat="1" applyFont="1" applyFill="1" applyBorder="1" applyAlignment="1">
      <alignment horizontal="center" vertical="center"/>
    </xf>
    <xf numFmtId="3" fontId="2" fillId="8" borderId="1" xfId="0" applyNumberFormat="1" applyFont="1" applyFill="1" applyBorder="1" applyAlignment="1">
      <alignment horizontal="center" vertical="center" wrapText="1"/>
    </xf>
    <xf numFmtId="3" fontId="2" fillId="8" borderId="1" xfId="0" applyNumberFormat="1" applyFont="1" applyFill="1" applyBorder="1" applyAlignment="1">
      <alignment horizontal="center" vertical="center"/>
    </xf>
    <xf numFmtId="165" fontId="2" fillId="6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 wrapText="1"/>
    </xf>
    <xf numFmtId="3" fontId="2" fillId="4" borderId="1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4" borderId="2" xfId="0" applyNumberFormat="1" applyFont="1" applyFill="1" applyBorder="1" applyAlignment="1">
      <alignment horizontal="center" vertical="center" wrapText="1"/>
    </xf>
    <xf numFmtId="3" fontId="2" fillId="4" borderId="10" xfId="0" applyNumberFormat="1" applyFont="1" applyFill="1" applyBorder="1" applyAlignment="1">
      <alignment horizontal="center" vertical="center" wrapText="1"/>
    </xf>
    <xf numFmtId="3" fontId="2" fillId="4" borderId="6" xfId="0" applyNumberFormat="1" applyFont="1" applyFill="1" applyBorder="1" applyAlignment="1">
      <alignment horizontal="center" vertical="center" wrapText="1"/>
    </xf>
    <xf numFmtId="3" fontId="1" fillId="0" borderId="3" xfId="0" applyNumberFormat="1" applyFont="1" applyBorder="1" applyAlignment="1">
      <alignment horizontal="center" vertical="center" wrapText="1"/>
    </xf>
    <xf numFmtId="3" fontId="1" fillId="0" borderId="7" xfId="0" applyNumberFormat="1" applyFont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3" fontId="2" fillId="6" borderId="3" xfId="0" applyNumberFormat="1" applyFont="1" applyFill="1" applyBorder="1" applyAlignment="1">
      <alignment horizontal="center" vertical="center"/>
    </xf>
    <xf numFmtId="3" fontId="2" fillId="6" borderId="8" xfId="0" applyNumberFormat="1" applyFont="1" applyFill="1" applyBorder="1" applyAlignment="1">
      <alignment horizontal="center" vertical="center"/>
    </xf>
    <xf numFmtId="3" fontId="2" fillId="6" borderId="7" xfId="0" applyNumberFormat="1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 wrapText="1"/>
    </xf>
    <xf numFmtId="3" fontId="2" fillId="3" borderId="5" xfId="0" applyNumberFormat="1" applyFont="1" applyFill="1" applyBorder="1" applyAlignment="1">
      <alignment horizontal="center" vertical="center" wrapText="1"/>
    </xf>
    <xf numFmtId="3" fontId="2" fillId="4" borderId="5" xfId="0" applyNumberFormat="1" applyFont="1" applyFill="1" applyBorder="1" applyAlignment="1">
      <alignment horizontal="center" vertical="center"/>
    </xf>
    <xf numFmtId="3" fontId="2" fillId="4" borderId="11" xfId="0" applyNumberFormat="1" applyFont="1" applyFill="1" applyBorder="1" applyAlignment="1">
      <alignment horizontal="center" vertical="center" wrapText="1"/>
    </xf>
    <xf numFmtId="3" fontId="2" fillId="4" borderId="12" xfId="0" applyNumberFormat="1" applyFont="1" applyFill="1" applyBorder="1" applyAlignment="1">
      <alignment horizontal="center" vertical="center" wrapText="1"/>
    </xf>
    <xf numFmtId="3" fontId="2" fillId="4" borderId="5" xfId="0" applyNumberFormat="1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3" fontId="2" fillId="8" borderId="5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6ABD0-2A2D-49A9-AFBA-1113B96789BE}">
  <sheetPr codeName="Sheet1"/>
  <dimension ref="A1:AQ98"/>
  <sheetViews>
    <sheetView zoomScale="92" zoomScaleNormal="92" workbookViewId="0">
      <selection activeCell="G7" sqref="G7"/>
    </sheetView>
  </sheetViews>
  <sheetFormatPr defaultRowHeight="15.75" x14ac:dyDescent="0.25"/>
  <cols>
    <col min="1" max="1" width="16.85546875" style="24" customWidth="1"/>
    <col min="2" max="2" width="12.28515625" style="25" bestFit="1" customWidth="1"/>
    <col min="3" max="3" width="19.7109375" style="7" bestFit="1" customWidth="1"/>
    <col min="4" max="4" width="13.42578125" style="8" bestFit="1" customWidth="1"/>
    <col min="5" max="5" width="24" style="21" customWidth="1"/>
    <col min="6" max="6" width="21.140625" style="32" customWidth="1"/>
    <col min="7" max="9" width="3.42578125" style="2" bestFit="1" customWidth="1"/>
    <col min="10" max="10" width="4.28515625" style="2" bestFit="1" customWidth="1"/>
    <col min="11" max="16" width="3.42578125" style="2" bestFit="1" customWidth="1"/>
    <col min="17" max="17" width="4.28515625" style="2" bestFit="1" customWidth="1"/>
    <col min="18" max="23" width="3.42578125" style="2" bestFit="1" customWidth="1"/>
    <col min="24" max="24" width="4.28515625" style="2" bestFit="1" customWidth="1"/>
    <col min="25" max="30" width="3.42578125" style="2" bestFit="1" customWidth="1"/>
    <col min="31" max="31" width="3.28515625" style="2" customWidth="1"/>
    <col min="32" max="37" width="3.42578125" style="2" bestFit="1" customWidth="1"/>
    <col min="38" max="38" width="9.5703125" style="1" bestFit="1" customWidth="1"/>
    <col min="39" max="39" width="13.5703125" style="1" bestFit="1" customWidth="1"/>
    <col min="40" max="40" width="12" style="1" customWidth="1"/>
    <col min="41" max="41" width="13.85546875" style="1" customWidth="1"/>
    <col min="42" max="42" width="13" style="1" customWidth="1"/>
    <col min="43" max="43" width="11.5703125" style="1" bestFit="1" customWidth="1"/>
    <col min="44" max="16384" width="9.140625" style="1"/>
  </cols>
  <sheetData>
    <row r="1" spans="1:43" ht="20.25" x14ac:dyDescent="0.3">
      <c r="A1" s="62" t="s">
        <v>12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</row>
    <row r="2" spans="1:43" x14ac:dyDescent="0.25">
      <c r="AL2" s="11" t="s">
        <v>7</v>
      </c>
      <c r="AM2" s="12"/>
      <c r="AN2" s="12"/>
    </row>
    <row r="3" spans="1:43" x14ac:dyDescent="0.25">
      <c r="A3" s="6" t="s">
        <v>1</v>
      </c>
      <c r="B3" s="26">
        <v>6</v>
      </c>
      <c r="C3" s="19" t="s">
        <v>4</v>
      </c>
      <c r="D3" s="14">
        <v>2025</v>
      </c>
      <c r="E3" s="33"/>
      <c r="F3" s="34"/>
      <c r="AL3" s="9"/>
      <c r="AM3" s="9" t="s">
        <v>8</v>
      </c>
      <c r="AN3" s="10" t="s">
        <v>9</v>
      </c>
    </row>
    <row r="4" spans="1:43" ht="20.25" x14ac:dyDescent="0.25">
      <c r="A4" s="63" t="s">
        <v>13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16"/>
      <c r="AM4" s="17" t="s">
        <v>10</v>
      </c>
      <c r="AN4" s="18" t="s">
        <v>11</v>
      </c>
    </row>
    <row r="5" spans="1:43" x14ac:dyDescent="0.25">
      <c r="A5" s="66" t="s">
        <v>2</v>
      </c>
      <c r="B5" s="52" t="s">
        <v>0</v>
      </c>
      <c r="C5" s="52" t="s">
        <v>3</v>
      </c>
      <c r="D5" s="52" t="s">
        <v>5</v>
      </c>
      <c r="E5" s="56" t="s">
        <v>24</v>
      </c>
      <c r="F5" s="57"/>
      <c r="G5" s="3">
        <f>DATE($D$3,$B$3,1)</f>
        <v>45809</v>
      </c>
      <c r="H5" s="3">
        <f>G5+1</f>
        <v>45810</v>
      </c>
      <c r="I5" s="3">
        <f t="shared" ref="I5:AH5" si="0">H5+1</f>
        <v>45811</v>
      </c>
      <c r="J5" s="3">
        <f t="shared" si="0"/>
        <v>45812</v>
      </c>
      <c r="K5" s="3">
        <f t="shared" si="0"/>
        <v>45813</v>
      </c>
      <c r="L5" s="3">
        <f t="shared" si="0"/>
        <v>45814</v>
      </c>
      <c r="M5" s="3">
        <f t="shared" si="0"/>
        <v>45815</v>
      </c>
      <c r="N5" s="3">
        <f t="shared" si="0"/>
        <v>45816</v>
      </c>
      <c r="O5" s="3">
        <f t="shared" si="0"/>
        <v>45817</v>
      </c>
      <c r="P5" s="3">
        <f t="shared" si="0"/>
        <v>45818</v>
      </c>
      <c r="Q5" s="3">
        <f t="shared" si="0"/>
        <v>45819</v>
      </c>
      <c r="R5" s="3">
        <f t="shared" si="0"/>
        <v>45820</v>
      </c>
      <c r="S5" s="3">
        <f t="shared" si="0"/>
        <v>45821</v>
      </c>
      <c r="T5" s="3">
        <f t="shared" si="0"/>
        <v>45822</v>
      </c>
      <c r="U5" s="3">
        <f t="shared" si="0"/>
        <v>45823</v>
      </c>
      <c r="V5" s="3">
        <f t="shared" si="0"/>
        <v>45824</v>
      </c>
      <c r="W5" s="3">
        <f t="shared" si="0"/>
        <v>45825</v>
      </c>
      <c r="X5" s="3">
        <f>W5+1</f>
        <v>45826</v>
      </c>
      <c r="Y5" s="3">
        <f t="shared" si="0"/>
        <v>45827</v>
      </c>
      <c r="Z5" s="3">
        <f t="shared" si="0"/>
        <v>45828</v>
      </c>
      <c r="AA5" s="3">
        <f t="shared" si="0"/>
        <v>45829</v>
      </c>
      <c r="AB5" s="3">
        <f t="shared" si="0"/>
        <v>45830</v>
      </c>
      <c r="AC5" s="3">
        <f t="shared" si="0"/>
        <v>45831</v>
      </c>
      <c r="AD5" s="3">
        <f t="shared" si="0"/>
        <v>45832</v>
      </c>
      <c r="AE5" s="3">
        <f t="shared" si="0"/>
        <v>45833</v>
      </c>
      <c r="AF5" s="3">
        <f t="shared" si="0"/>
        <v>45834</v>
      </c>
      <c r="AG5" s="3">
        <f>AF5+1</f>
        <v>45835</v>
      </c>
      <c r="AH5" s="3">
        <f t="shared" si="0"/>
        <v>45836</v>
      </c>
      <c r="AI5" s="3">
        <f>IF(AH5="","",IF(EOMONTH(DATE($D$3,$B$3,1),0)=AH5,"",AH5+1))</f>
        <v>45837</v>
      </c>
      <c r="AJ5" s="3">
        <f t="shared" ref="AJ5:AK5" si="1">IF(AI5="","",IF(EOMONTH(DATE($D$3,$B$3,1),0)=AI5,"",AI5+1))</f>
        <v>45838</v>
      </c>
      <c r="AK5" s="3" t="str">
        <f t="shared" si="1"/>
        <v/>
      </c>
      <c r="AL5" s="51" t="s">
        <v>6</v>
      </c>
      <c r="AM5" s="51" t="s">
        <v>19</v>
      </c>
      <c r="AN5" s="51" t="s">
        <v>20</v>
      </c>
      <c r="AO5" s="46" t="s">
        <v>21</v>
      </c>
      <c r="AP5" s="48" t="s">
        <v>22</v>
      </c>
      <c r="AQ5" s="48" t="s">
        <v>23</v>
      </c>
    </row>
    <row r="6" spans="1:43" ht="38.25" customHeight="1" x14ac:dyDescent="0.25">
      <c r="A6" s="66"/>
      <c r="B6" s="52"/>
      <c r="C6" s="52"/>
      <c r="D6" s="52"/>
      <c r="E6" s="58"/>
      <c r="F6" s="59"/>
      <c r="G6" s="4" t="str">
        <f>IF(G5="","",IF(WEEKDAY(G5)=1,"CN","T"&amp;WEEKDAY(G5)))</f>
        <v>CN</v>
      </c>
      <c r="H6" s="4" t="str">
        <f t="shared" ref="H6:AK6" si="2">IF(H5="","",IF(WEEKDAY(H5)=1,"CN","T"&amp;WEEKDAY(H5)))</f>
        <v>T2</v>
      </c>
      <c r="I6" s="4" t="str">
        <f t="shared" si="2"/>
        <v>T3</v>
      </c>
      <c r="J6" s="4" t="str">
        <f t="shared" si="2"/>
        <v>T4</v>
      </c>
      <c r="K6" s="4" t="str">
        <f t="shared" si="2"/>
        <v>T5</v>
      </c>
      <c r="L6" s="4" t="str">
        <f t="shared" si="2"/>
        <v>T6</v>
      </c>
      <c r="M6" s="4" t="str">
        <f t="shared" si="2"/>
        <v>T7</v>
      </c>
      <c r="N6" s="4" t="str">
        <f t="shared" si="2"/>
        <v>CN</v>
      </c>
      <c r="O6" s="4" t="str">
        <f t="shared" si="2"/>
        <v>T2</v>
      </c>
      <c r="P6" s="4" t="str">
        <f t="shared" si="2"/>
        <v>T3</v>
      </c>
      <c r="Q6" s="4" t="str">
        <f t="shared" si="2"/>
        <v>T4</v>
      </c>
      <c r="R6" s="4" t="str">
        <f t="shared" si="2"/>
        <v>T5</v>
      </c>
      <c r="S6" s="4" t="str">
        <f t="shared" si="2"/>
        <v>T6</v>
      </c>
      <c r="T6" s="4" t="str">
        <f t="shared" si="2"/>
        <v>T7</v>
      </c>
      <c r="U6" s="4" t="str">
        <f t="shared" si="2"/>
        <v>CN</v>
      </c>
      <c r="V6" s="4" t="str">
        <f t="shared" si="2"/>
        <v>T2</v>
      </c>
      <c r="W6" s="4" t="str">
        <f t="shared" si="2"/>
        <v>T3</v>
      </c>
      <c r="X6" s="4" t="str">
        <f t="shared" si="2"/>
        <v>T4</v>
      </c>
      <c r="Y6" s="4" t="str">
        <f t="shared" si="2"/>
        <v>T5</v>
      </c>
      <c r="Z6" s="4" t="str">
        <f t="shared" si="2"/>
        <v>T6</v>
      </c>
      <c r="AA6" s="4" t="str">
        <f t="shared" si="2"/>
        <v>T7</v>
      </c>
      <c r="AB6" s="4" t="str">
        <f t="shared" si="2"/>
        <v>CN</v>
      </c>
      <c r="AC6" s="4" t="str">
        <f t="shared" si="2"/>
        <v>T2</v>
      </c>
      <c r="AD6" s="4" t="str">
        <f t="shared" si="2"/>
        <v>T3</v>
      </c>
      <c r="AE6" s="4" t="str">
        <f t="shared" si="2"/>
        <v>T4</v>
      </c>
      <c r="AF6" s="4" t="str">
        <f t="shared" si="2"/>
        <v>T5</v>
      </c>
      <c r="AG6" s="4" t="str">
        <f t="shared" si="2"/>
        <v>T6</v>
      </c>
      <c r="AH6" s="4" t="str">
        <f t="shared" si="2"/>
        <v>T7</v>
      </c>
      <c r="AI6" s="4" t="str">
        <f t="shared" si="2"/>
        <v>CN</v>
      </c>
      <c r="AJ6" s="4" t="str">
        <f t="shared" si="2"/>
        <v>T2</v>
      </c>
      <c r="AK6" s="4" t="str">
        <f t="shared" si="2"/>
        <v/>
      </c>
      <c r="AL6" s="52"/>
      <c r="AM6" s="52"/>
      <c r="AN6" s="52"/>
      <c r="AO6" s="47"/>
      <c r="AP6" s="49"/>
      <c r="AQ6" s="49"/>
    </row>
    <row r="7" spans="1:43" s="31" customFormat="1" ht="31.5" x14ac:dyDescent="0.25">
      <c r="A7" s="4">
        <v>1</v>
      </c>
      <c r="B7" s="20" t="s">
        <v>26</v>
      </c>
      <c r="C7" s="29" t="s">
        <v>27</v>
      </c>
      <c r="D7" s="20">
        <v>100000</v>
      </c>
      <c r="E7" s="60">
        <f>DAY(EOMONTH(DATE($D$3, $B$3, 1), 0))*D7</f>
        <v>3000000</v>
      </c>
      <c r="F7" s="61"/>
      <c r="G7" s="4" t="s">
        <v>9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30">
        <f>COUNTIF(G7:AK7,"x")</f>
        <v>1</v>
      </c>
      <c r="AM7" s="30">
        <f>SUMIFS($B$11:$B$98, $A$11:$A$98, "TAMTIN")</f>
        <v>0</v>
      </c>
      <c r="AN7" s="30">
        <f>SUMIFS($C$11:$C$98, $A$11:$A$98, "TAMTIN")</f>
        <v>0</v>
      </c>
      <c r="AO7" s="30">
        <f>SUMIFS($D$11:$D$98, $A$11:$A$98, "TAMTIN")</f>
        <v>0</v>
      </c>
      <c r="AP7" s="30">
        <f t="shared" ref="AP7" si="3">(D7*AL7)-AM7-AO7-AN7</f>
        <v>100000</v>
      </c>
      <c r="AQ7" s="30">
        <f>E7-AN7-AM7-AO7</f>
        <v>3000000</v>
      </c>
    </row>
    <row r="8" spans="1:43" ht="20.25" x14ac:dyDescent="0.3">
      <c r="A8" s="53" t="s">
        <v>30</v>
      </c>
      <c r="B8" s="54"/>
      <c r="C8" s="54"/>
      <c r="D8" s="54"/>
      <c r="E8" s="54"/>
      <c r="F8" s="55"/>
    </row>
    <row r="9" spans="1:43" x14ac:dyDescent="0.25">
      <c r="A9" s="64" t="s">
        <v>0</v>
      </c>
      <c r="B9" s="67" t="s">
        <v>16</v>
      </c>
      <c r="C9" s="68"/>
      <c r="D9" s="69"/>
      <c r="E9" s="70" t="s">
        <v>17</v>
      </c>
      <c r="F9" s="50" t="s">
        <v>25</v>
      </c>
      <c r="AK9" s="1"/>
    </row>
    <row r="10" spans="1:43" x14ac:dyDescent="0.25">
      <c r="A10" s="65"/>
      <c r="B10" s="15" t="s">
        <v>14</v>
      </c>
      <c r="C10" s="15" t="s">
        <v>15</v>
      </c>
      <c r="D10" s="15" t="s">
        <v>18</v>
      </c>
      <c r="E10" s="70"/>
      <c r="F10" s="50"/>
      <c r="AK10" s="1"/>
    </row>
    <row r="11" spans="1:43" x14ac:dyDescent="0.25">
      <c r="A11" s="4"/>
      <c r="B11" s="20"/>
      <c r="C11" s="20"/>
      <c r="D11" s="20"/>
      <c r="E11" s="23"/>
      <c r="F11" s="27"/>
      <c r="AK11" s="1"/>
    </row>
    <row r="12" spans="1:43" x14ac:dyDescent="0.25">
      <c r="A12" s="5"/>
      <c r="B12" s="20"/>
      <c r="C12" s="13"/>
      <c r="D12" s="13"/>
      <c r="E12" s="22"/>
      <c r="F12" s="27"/>
      <c r="AK12" s="1"/>
    </row>
    <row r="13" spans="1:43" x14ac:dyDescent="0.25">
      <c r="A13" s="5"/>
      <c r="B13" s="20"/>
      <c r="C13" s="13"/>
      <c r="D13" s="13"/>
      <c r="E13" s="22"/>
      <c r="F13" s="27"/>
      <c r="AK13" s="1"/>
    </row>
    <row r="14" spans="1:43" x14ac:dyDescent="0.25">
      <c r="A14" s="5"/>
      <c r="B14" s="20"/>
      <c r="C14" s="13"/>
      <c r="D14" s="13"/>
      <c r="E14" s="22"/>
      <c r="F14" s="27"/>
      <c r="AK14" s="1"/>
    </row>
    <row r="15" spans="1:43" x14ac:dyDescent="0.25">
      <c r="A15" s="5"/>
      <c r="B15" s="20"/>
      <c r="C15" s="13"/>
      <c r="D15" s="13"/>
      <c r="E15" s="22"/>
      <c r="F15" s="27"/>
      <c r="AK15" s="1"/>
    </row>
    <row r="16" spans="1:43" x14ac:dyDescent="0.25">
      <c r="A16" s="5"/>
      <c r="B16" s="20"/>
      <c r="C16" s="13"/>
      <c r="D16" s="13"/>
      <c r="E16" s="22"/>
      <c r="F16" s="27"/>
      <c r="AK16" s="1"/>
    </row>
    <row r="17" spans="1:37" x14ac:dyDescent="0.25">
      <c r="A17" s="4"/>
      <c r="B17" s="20"/>
      <c r="C17" s="20"/>
      <c r="D17" s="20"/>
      <c r="E17" s="23"/>
      <c r="F17" s="27"/>
      <c r="AK17" s="1"/>
    </row>
    <row r="18" spans="1:37" x14ac:dyDescent="0.25">
      <c r="A18" s="5"/>
      <c r="B18" s="20"/>
      <c r="C18" s="13"/>
      <c r="D18" s="13"/>
      <c r="E18" s="22"/>
      <c r="F18" s="27"/>
      <c r="AK18" s="1"/>
    </row>
    <row r="19" spans="1:37" x14ac:dyDescent="0.25">
      <c r="A19" s="5"/>
      <c r="B19" s="20"/>
      <c r="C19" s="13"/>
      <c r="D19" s="13"/>
      <c r="E19" s="22"/>
      <c r="F19" s="27"/>
      <c r="AK19" s="1"/>
    </row>
    <row r="20" spans="1:37" x14ac:dyDescent="0.25">
      <c r="A20" s="5"/>
      <c r="B20" s="20"/>
      <c r="C20" s="13"/>
      <c r="D20" s="13"/>
      <c r="E20" s="22"/>
      <c r="F20" s="27"/>
      <c r="AK20" s="1"/>
    </row>
    <row r="21" spans="1:37" x14ac:dyDescent="0.25">
      <c r="A21" s="5"/>
      <c r="B21" s="20"/>
      <c r="C21" s="13"/>
      <c r="D21" s="13"/>
      <c r="E21" s="22"/>
      <c r="F21" s="27"/>
      <c r="AK21" s="1"/>
    </row>
    <row r="22" spans="1:37" x14ac:dyDescent="0.25">
      <c r="A22" s="5"/>
      <c r="B22" s="20"/>
      <c r="C22" s="13"/>
      <c r="D22" s="13"/>
      <c r="E22" s="22"/>
      <c r="F22" s="27"/>
      <c r="AK22" s="1"/>
    </row>
    <row r="23" spans="1:37" x14ac:dyDescent="0.25">
      <c r="A23" s="5"/>
      <c r="B23" s="20"/>
      <c r="C23" s="13"/>
      <c r="D23" s="13"/>
      <c r="E23" s="22"/>
      <c r="F23" s="27"/>
      <c r="AK23" s="1"/>
    </row>
    <row r="24" spans="1:37" x14ac:dyDescent="0.25">
      <c r="A24" s="5"/>
      <c r="B24" s="20"/>
      <c r="C24" s="13"/>
      <c r="D24" s="13"/>
      <c r="E24" s="22"/>
      <c r="F24" s="27"/>
      <c r="AK24" s="1"/>
    </row>
    <row r="25" spans="1:37" x14ac:dyDescent="0.25">
      <c r="A25" s="5"/>
      <c r="B25" s="20"/>
      <c r="C25" s="13"/>
      <c r="D25" s="13"/>
      <c r="E25" s="22"/>
      <c r="F25" s="27"/>
      <c r="AK25" s="1"/>
    </row>
    <row r="26" spans="1:37" x14ac:dyDescent="0.25">
      <c r="A26" s="5"/>
      <c r="B26" s="20"/>
      <c r="C26" s="13"/>
      <c r="D26" s="13"/>
      <c r="E26" s="22"/>
      <c r="F26" s="27"/>
      <c r="AK26" s="1"/>
    </row>
    <row r="27" spans="1:37" x14ac:dyDescent="0.25">
      <c r="A27" s="5"/>
      <c r="B27" s="20"/>
      <c r="C27" s="13"/>
      <c r="D27" s="13"/>
      <c r="E27" s="22"/>
      <c r="F27" s="27"/>
      <c r="AK27" s="1"/>
    </row>
    <row r="28" spans="1:37" x14ac:dyDescent="0.25">
      <c r="A28" s="5"/>
      <c r="B28" s="20"/>
      <c r="C28" s="13"/>
      <c r="D28" s="13"/>
      <c r="E28" s="22"/>
      <c r="F28" s="27"/>
      <c r="AK28" s="1"/>
    </row>
    <row r="29" spans="1:37" x14ac:dyDescent="0.25">
      <c r="A29" s="5"/>
      <c r="B29" s="20"/>
      <c r="C29" s="13"/>
      <c r="D29" s="13"/>
      <c r="E29" s="22"/>
      <c r="F29" s="27"/>
      <c r="AK29" s="1"/>
    </row>
    <row r="30" spans="1:37" x14ac:dyDescent="0.25">
      <c r="A30" s="5"/>
      <c r="B30" s="20"/>
      <c r="C30" s="13"/>
      <c r="D30" s="13"/>
      <c r="E30" s="22"/>
      <c r="F30" s="27"/>
      <c r="AK30" s="1"/>
    </row>
    <row r="31" spans="1:37" x14ac:dyDescent="0.25">
      <c r="A31" s="5"/>
      <c r="B31" s="20"/>
      <c r="C31" s="13"/>
      <c r="D31" s="13"/>
      <c r="E31" s="22"/>
      <c r="F31" s="27"/>
      <c r="AK31" s="1"/>
    </row>
    <row r="32" spans="1:37" x14ac:dyDescent="0.25">
      <c r="A32" s="5"/>
      <c r="B32" s="20"/>
      <c r="C32" s="13"/>
      <c r="D32" s="13"/>
      <c r="E32" s="22"/>
      <c r="F32" s="27"/>
      <c r="AK32" s="1"/>
    </row>
    <row r="33" spans="1:37" x14ac:dyDescent="0.25">
      <c r="A33" s="5"/>
      <c r="B33" s="20"/>
      <c r="C33" s="13"/>
      <c r="D33" s="13"/>
      <c r="E33" s="22"/>
      <c r="F33" s="27"/>
      <c r="AK33" s="1"/>
    </row>
    <row r="34" spans="1:37" x14ac:dyDescent="0.25">
      <c r="A34" s="5"/>
      <c r="B34" s="20"/>
      <c r="C34" s="13"/>
      <c r="D34" s="13"/>
      <c r="E34" s="22"/>
      <c r="F34" s="27"/>
      <c r="AK34" s="1"/>
    </row>
    <row r="35" spans="1:37" x14ac:dyDescent="0.25">
      <c r="A35" s="5"/>
      <c r="B35" s="20"/>
      <c r="C35" s="13"/>
      <c r="D35" s="13"/>
      <c r="E35" s="22"/>
      <c r="F35" s="27"/>
      <c r="AK35" s="1"/>
    </row>
    <row r="36" spans="1:37" x14ac:dyDescent="0.25">
      <c r="A36" s="5"/>
      <c r="B36" s="20"/>
      <c r="C36" s="13"/>
      <c r="D36" s="13"/>
      <c r="E36" s="22"/>
      <c r="F36" s="27"/>
      <c r="AK36" s="1"/>
    </row>
    <row r="37" spans="1:37" x14ac:dyDescent="0.25">
      <c r="A37" s="5"/>
      <c r="B37" s="20"/>
      <c r="C37" s="13"/>
      <c r="D37" s="13"/>
      <c r="E37" s="22"/>
      <c r="F37" s="27"/>
      <c r="AK37" s="1"/>
    </row>
    <row r="38" spans="1:37" x14ac:dyDescent="0.25">
      <c r="A38" s="5"/>
      <c r="B38" s="20"/>
      <c r="C38" s="13"/>
      <c r="D38" s="13"/>
      <c r="E38" s="22"/>
      <c r="F38" s="27"/>
      <c r="AK38" s="1"/>
    </row>
    <row r="39" spans="1:37" x14ac:dyDescent="0.25">
      <c r="A39" s="5"/>
      <c r="B39" s="20"/>
      <c r="C39" s="13"/>
      <c r="D39" s="13"/>
      <c r="E39" s="22"/>
      <c r="F39" s="27"/>
      <c r="AK39" s="1"/>
    </row>
    <row r="40" spans="1:37" x14ac:dyDescent="0.25">
      <c r="A40" s="5"/>
      <c r="B40" s="20"/>
      <c r="C40" s="13"/>
      <c r="D40" s="13"/>
      <c r="E40" s="22"/>
      <c r="F40" s="27"/>
      <c r="AK40" s="1"/>
    </row>
    <row r="41" spans="1:37" x14ac:dyDescent="0.25">
      <c r="A41" s="5"/>
      <c r="B41" s="20"/>
      <c r="C41" s="13"/>
      <c r="D41" s="13"/>
      <c r="E41" s="22"/>
      <c r="F41" s="27"/>
      <c r="AK41" s="1"/>
    </row>
    <row r="42" spans="1:37" x14ac:dyDescent="0.25">
      <c r="A42" s="5"/>
      <c r="B42" s="20"/>
      <c r="C42" s="13"/>
      <c r="D42" s="13"/>
      <c r="E42" s="22"/>
      <c r="F42" s="27"/>
      <c r="AK42" s="1"/>
    </row>
    <row r="43" spans="1:37" x14ac:dyDescent="0.25">
      <c r="A43" s="5"/>
      <c r="B43" s="20"/>
      <c r="C43" s="13"/>
      <c r="D43" s="13"/>
      <c r="E43" s="22"/>
      <c r="F43" s="27"/>
      <c r="AK43" s="1"/>
    </row>
    <row r="44" spans="1:37" x14ac:dyDescent="0.25">
      <c r="A44" s="5"/>
      <c r="B44" s="20"/>
      <c r="C44" s="13"/>
      <c r="D44" s="13"/>
      <c r="E44" s="22"/>
      <c r="F44" s="27"/>
      <c r="AK44" s="1"/>
    </row>
    <row r="45" spans="1:37" x14ac:dyDescent="0.25">
      <c r="A45" s="5"/>
      <c r="B45" s="20"/>
      <c r="C45" s="13"/>
      <c r="D45" s="13"/>
      <c r="E45" s="22"/>
      <c r="F45" s="27"/>
      <c r="AK45" s="1"/>
    </row>
    <row r="46" spans="1:37" x14ac:dyDescent="0.25">
      <c r="A46" s="5"/>
      <c r="B46" s="20"/>
      <c r="C46" s="13"/>
      <c r="D46" s="13"/>
      <c r="E46" s="22"/>
      <c r="F46" s="27"/>
      <c r="AK46" s="1"/>
    </row>
    <row r="47" spans="1:37" x14ac:dyDescent="0.25">
      <c r="A47" s="5"/>
      <c r="B47" s="20"/>
      <c r="C47" s="13"/>
      <c r="D47" s="13"/>
      <c r="E47" s="22"/>
      <c r="F47" s="27"/>
      <c r="AK47" s="1"/>
    </row>
    <row r="48" spans="1:37" x14ac:dyDescent="0.25">
      <c r="A48" s="5"/>
      <c r="B48" s="20"/>
      <c r="C48" s="13"/>
      <c r="D48" s="13"/>
      <c r="E48" s="22"/>
      <c r="F48" s="27"/>
      <c r="AK48" s="1"/>
    </row>
    <row r="49" spans="1:37" x14ac:dyDescent="0.25">
      <c r="A49" s="5"/>
      <c r="B49" s="20"/>
      <c r="C49" s="13"/>
      <c r="D49" s="13"/>
      <c r="E49" s="22"/>
      <c r="F49" s="27"/>
      <c r="AK49" s="1"/>
    </row>
    <row r="50" spans="1:37" x14ac:dyDescent="0.25">
      <c r="A50" s="5"/>
      <c r="B50" s="20"/>
      <c r="C50" s="13"/>
      <c r="D50" s="13"/>
      <c r="E50" s="22"/>
      <c r="F50" s="27"/>
      <c r="AK50" s="1"/>
    </row>
    <row r="51" spans="1:37" x14ac:dyDescent="0.25">
      <c r="A51" s="5"/>
      <c r="B51" s="20"/>
      <c r="C51" s="13"/>
      <c r="D51" s="13"/>
      <c r="E51" s="22"/>
      <c r="F51" s="27"/>
      <c r="AK51" s="1"/>
    </row>
    <row r="52" spans="1:37" x14ac:dyDescent="0.25">
      <c r="A52" s="5"/>
      <c r="B52" s="20"/>
      <c r="C52" s="13"/>
      <c r="D52" s="13"/>
      <c r="E52" s="22"/>
      <c r="F52" s="27"/>
      <c r="AK52" s="1"/>
    </row>
    <row r="53" spans="1:37" x14ac:dyDescent="0.25">
      <c r="A53" s="5"/>
      <c r="B53" s="20"/>
      <c r="C53" s="13"/>
      <c r="D53" s="13"/>
      <c r="E53" s="22"/>
      <c r="F53" s="27"/>
      <c r="AK53" s="1"/>
    </row>
    <row r="54" spans="1:37" x14ac:dyDescent="0.25">
      <c r="A54" s="5"/>
      <c r="B54" s="20"/>
      <c r="C54" s="13"/>
      <c r="D54" s="13"/>
      <c r="E54" s="22"/>
      <c r="F54" s="27"/>
      <c r="AK54" s="1"/>
    </row>
    <row r="55" spans="1:37" x14ac:dyDescent="0.25">
      <c r="A55" s="5"/>
      <c r="B55" s="20"/>
      <c r="C55" s="13"/>
      <c r="D55" s="13"/>
      <c r="E55" s="22"/>
      <c r="F55" s="27"/>
      <c r="AK55" s="1"/>
    </row>
    <row r="56" spans="1:37" x14ac:dyDescent="0.25">
      <c r="A56" s="5"/>
      <c r="B56" s="20"/>
      <c r="C56" s="13"/>
      <c r="D56" s="13"/>
      <c r="E56" s="22"/>
      <c r="F56" s="27"/>
      <c r="AK56" s="1"/>
    </row>
    <row r="57" spans="1:37" x14ac:dyDescent="0.25">
      <c r="A57" s="5"/>
      <c r="B57" s="20"/>
      <c r="C57" s="13"/>
      <c r="D57" s="13"/>
      <c r="E57" s="22"/>
      <c r="F57" s="27"/>
      <c r="AK57" s="1"/>
    </row>
    <row r="58" spans="1:37" x14ac:dyDescent="0.25">
      <c r="A58" s="5"/>
      <c r="B58" s="20"/>
      <c r="C58" s="13"/>
      <c r="D58" s="13"/>
      <c r="E58" s="22"/>
      <c r="F58" s="27"/>
      <c r="AK58" s="1"/>
    </row>
    <row r="59" spans="1:37" x14ac:dyDescent="0.25">
      <c r="A59" s="5"/>
      <c r="B59" s="20"/>
      <c r="C59" s="13"/>
      <c r="D59" s="13"/>
      <c r="E59" s="22"/>
      <c r="F59" s="27"/>
      <c r="AK59" s="1"/>
    </row>
    <row r="60" spans="1:37" x14ac:dyDescent="0.25">
      <c r="A60" s="5"/>
      <c r="B60" s="20"/>
      <c r="C60" s="13"/>
      <c r="D60" s="13"/>
      <c r="E60" s="22"/>
      <c r="F60" s="27"/>
      <c r="AK60" s="1"/>
    </row>
    <row r="61" spans="1:37" x14ac:dyDescent="0.25">
      <c r="A61" s="5"/>
      <c r="B61" s="20"/>
      <c r="C61" s="13"/>
      <c r="D61" s="13"/>
      <c r="E61" s="22"/>
      <c r="F61" s="27"/>
      <c r="AK61" s="1"/>
    </row>
    <row r="62" spans="1:37" x14ac:dyDescent="0.25">
      <c r="A62" s="5"/>
      <c r="B62" s="20"/>
      <c r="C62" s="13"/>
      <c r="D62" s="13"/>
      <c r="E62" s="22"/>
      <c r="F62" s="27"/>
      <c r="AK62" s="1"/>
    </row>
    <row r="63" spans="1:37" x14ac:dyDescent="0.25">
      <c r="A63" s="5"/>
      <c r="B63" s="20"/>
      <c r="C63" s="13"/>
      <c r="D63" s="13"/>
      <c r="E63" s="22"/>
      <c r="F63" s="27"/>
      <c r="AK63" s="1"/>
    </row>
    <row r="64" spans="1:37" x14ac:dyDescent="0.25">
      <c r="A64" s="5"/>
      <c r="B64" s="20"/>
      <c r="C64" s="13"/>
      <c r="D64" s="13"/>
      <c r="E64" s="22"/>
      <c r="F64" s="27"/>
      <c r="AK64" s="1"/>
    </row>
    <row r="65" spans="1:37" x14ac:dyDescent="0.25">
      <c r="A65" s="5"/>
      <c r="B65" s="20"/>
      <c r="C65" s="13"/>
      <c r="D65" s="13"/>
      <c r="E65" s="22"/>
      <c r="F65" s="27"/>
      <c r="AK65" s="1"/>
    </row>
    <row r="66" spans="1:37" x14ac:dyDescent="0.25">
      <c r="A66" s="5"/>
      <c r="B66" s="20"/>
      <c r="C66" s="13"/>
      <c r="D66" s="13"/>
      <c r="E66" s="22"/>
      <c r="F66" s="27"/>
      <c r="AK66" s="1"/>
    </row>
    <row r="67" spans="1:37" x14ac:dyDescent="0.25">
      <c r="A67" s="5"/>
      <c r="B67" s="20"/>
      <c r="C67" s="13"/>
      <c r="D67" s="13"/>
      <c r="E67" s="22"/>
      <c r="F67" s="27"/>
      <c r="AK67" s="1"/>
    </row>
    <row r="68" spans="1:37" x14ac:dyDescent="0.25">
      <c r="A68" s="5"/>
      <c r="B68" s="20"/>
      <c r="C68" s="13"/>
      <c r="D68" s="13"/>
      <c r="E68" s="22"/>
      <c r="F68" s="27"/>
      <c r="AK68" s="1"/>
    </row>
    <row r="69" spans="1:37" x14ac:dyDescent="0.25">
      <c r="A69" s="5"/>
      <c r="B69" s="20"/>
      <c r="C69" s="13"/>
      <c r="D69" s="13"/>
      <c r="E69" s="22"/>
      <c r="F69" s="27"/>
      <c r="AK69" s="1"/>
    </row>
    <row r="70" spans="1:37" x14ac:dyDescent="0.25">
      <c r="A70" s="5"/>
      <c r="B70" s="20"/>
      <c r="C70" s="13"/>
      <c r="D70" s="13"/>
      <c r="E70" s="22"/>
      <c r="F70" s="27"/>
      <c r="AK70" s="1"/>
    </row>
    <row r="71" spans="1:37" x14ac:dyDescent="0.25">
      <c r="A71" s="5"/>
      <c r="B71" s="20"/>
      <c r="C71" s="13"/>
      <c r="D71" s="13"/>
      <c r="E71" s="22"/>
      <c r="F71" s="27"/>
      <c r="AK71" s="1"/>
    </row>
    <row r="72" spans="1:37" x14ac:dyDescent="0.25">
      <c r="A72" s="5"/>
      <c r="B72" s="20"/>
      <c r="C72" s="13"/>
      <c r="D72" s="13"/>
      <c r="E72" s="22"/>
      <c r="F72" s="27"/>
      <c r="AK72" s="1"/>
    </row>
    <row r="73" spans="1:37" x14ac:dyDescent="0.25">
      <c r="A73" s="5"/>
      <c r="B73" s="20"/>
      <c r="C73" s="13"/>
      <c r="D73" s="13"/>
      <c r="E73" s="22"/>
      <c r="F73" s="27"/>
      <c r="AK73" s="1"/>
    </row>
    <row r="74" spans="1:37" x14ac:dyDescent="0.25">
      <c r="A74" s="5"/>
      <c r="B74" s="20"/>
      <c r="C74" s="13"/>
      <c r="D74" s="13"/>
      <c r="E74" s="22"/>
      <c r="F74" s="27"/>
      <c r="AK74" s="1"/>
    </row>
    <row r="75" spans="1:37" x14ac:dyDescent="0.25">
      <c r="A75" s="5"/>
      <c r="B75" s="20"/>
      <c r="C75" s="13"/>
      <c r="D75" s="13"/>
      <c r="E75" s="22"/>
      <c r="F75" s="27"/>
      <c r="AK75" s="1"/>
    </row>
    <row r="76" spans="1:37" x14ac:dyDescent="0.25">
      <c r="A76" s="5"/>
      <c r="B76" s="20"/>
      <c r="C76" s="13"/>
      <c r="D76" s="13"/>
      <c r="E76" s="22"/>
      <c r="F76" s="27"/>
      <c r="AK76" s="1"/>
    </row>
    <row r="77" spans="1:37" x14ac:dyDescent="0.25">
      <c r="A77" s="5"/>
      <c r="B77" s="20"/>
      <c r="C77" s="13"/>
      <c r="D77" s="13"/>
      <c r="E77" s="22"/>
      <c r="F77" s="27"/>
      <c r="AK77" s="1"/>
    </row>
    <row r="78" spans="1:37" x14ac:dyDescent="0.25">
      <c r="A78" s="5"/>
      <c r="B78" s="20"/>
      <c r="C78" s="13"/>
      <c r="D78" s="13"/>
      <c r="E78" s="22"/>
      <c r="F78" s="27"/>
      <c r="AK78" s="1"/>
    </row>
    <row r="79" spans="1:37" x14ac:dyDescent="0.25">
      <c r="A79" s="5"/>
      <c r="B79" s="20"/>
      <c r="C79" s="13"/>
      <c r="D79" s="13"/>
      <c r="E79" s="22"/>
      <c r="F79" s="27"/>
      <c r="AK79" s="1"/>
    </row>
    <row r="80" spans="1:37" x14ac:dyDescent="0.25">
      <c r="A80" s="5"/>
      <c r="B80" s="20"/>
      <c r="C80" s="13"/>
      <c r="D80" s="13"/>
      <c r="E80" s="22"/>
      <c r="F80" s="27"/>
      <c r="AK80" s="1"/>
    </row>
    <row r="81" spans="1:37" x14ac:dyDescent="0.25">
      <c r="A81" s="5"/>
      <c r="B81" s="20"/>
      <c r="C81" s="13"/>
      <c r="D81" s="13"/>
      <c r="E81" s="22"/>
      <c r="F81" s="27"/>
      <c r="AK81" s="1"/>
    </row>
    <row r="82" spans="1:37" x14ac:dyDescent="0.25">
      <c r="A82" s="5"/>
      <c r="B82" s="20"/>
      <c r="C82" s="13"/>
      <c r="D82" s="13"/>
      <c r="E82" s="22"/>
      <c r="F82" s="27"/>
      <c r="AK82" s="1"/>
    </row>
    <row r="83" spans="1:37" x14ac:dyDescent="0.25">
      <c r="A83" s="5"/>
      <c r="B83" s="20"/>
      <c r="C83" s="13"/>
      <c r="D83" s="13"/>
      <c r="E83" s="22"/>
      <c r="F83" s="27"/>
      <c r="AK83" s="1"/>
    </row>
    <row r="84" spans="1:37" x14ac:dyDescent="0.25">
      <c r="A84" s="5"/>
      <c r="B84" s="20"/>
      <c r="C84" s="13"/>
      <c r="D84" s="13"/>
      <c r="E84" s="22"/>
      <c r="F84" s="27"/>
      <c r="AK84" s="1"/>
    </row>
    <row r="85" spans="1:37" x14ac:dyDescent="0.25">
      <c r="A85" s="5"/>
      <c r="B85" s="20"/>
      <c r="C85" s="13"/>
      <c r="D85" s="13"/>
      <c r="E85" s="22"/>
      <c r="F85" s="27"/>
      <c r="AK85" s="1"/>
    </row>
    <row r="86" spans="1:37" x14ac:dyDescent="0.25">
      <c r="A86" s="5"/>
      <c r="B86" s="20"/>
      <c r="C86" s="13"/>
      <c r="D86" s="13"/>
      <c r="E86" s="22"/>
      <c r="F86" s="27"/>
      <c r="AK86" s="1"/>
    </row>
    <row r="87" spans="1:37" x14ac:dyDescent="0.25">
      <c r="A87" s="5"/>
      <c r="B87" s="20"/>
      <c r="C87" s="13"/>
      <c r="D87" s="13"/>
      <c r="E87" s="22"/>
      <c r="F87" s="27"/>
      <c r="AK87" s="1"/>
    </row>
    <row r="88" spans="1:37" x14ac:dyDescent="0.25">
      <c r="A88" s="5"/>
      <c r="B88" s="20"/>
      <c r="C88" s="13"/>
      <c r="D88" s="13"/>
      <c r="E88" s="22"/>
      <c r="F88" s="27"/>
      <c r="AK88" s="1"/>
    </row>
    <row r="89" spans="1:37" x14ac:dyDescent="0.25">
      <c r="A89" s="5"/>
      <c r="B89" s="20"/>
      <c r="C89" s="13"/>
      <c r="D89" s="13"/>
      <c r="E89" s="22"/>
      <c r="F89" s="27"/>
      <c r="AK89" s="1"/>
    </row>
    <row r="90" spans="1:37" x14ac:dyDescent="0.25">
      <c r="A90" s="5"/>
      <c r="B90" s="20"/>
      <c r="C90" s="13"/>
      <c r="D90" s="13"/>
      <c r="E90" s="22"/>
      <c r="F90" s="27"/>
      <c r="AK90" s="1"/>
    </row>
    <row r="91" spans="1:37" x14ac:dyDescent="0.25">
      <c r="A91" s="5"/>
      <c r="B91" s="20"/>
      <c r="C91" s="13"/>
      <c r="D91" s="13"/>
      <c r="E91" s="22"/>
      <c r="F91" s="27"/>
      <c r="AK91" s="1"/>
    </row>
    <row r="92" spans="1:37" x14ac:dyDescent="0.25">
      <c r="A92" s="5"/>
      <c r="B92" s="20"/>
      <c r="C92" s="13"/>
      <c r="D92" s="13"/>
      <c r="E92" s="22"/>
      <c r="F92" s="27"/>
      <c r="AK92" s="1"/>
    </row>
    <row r="93" spans="1:37" x14ac:dyDescent="0.25">
      <c r="A93" s="5"/>
      <c r="B93" s="20"/>
      <c r="C93" s="13"/>
      <c r="D93" s="13"/>
      <c r="E93" s="22"/>
      <c r="F93" s="27"/>
      <c r="AK93" s="1"/>
    </row>
    <row r="94" spans="1:37" x14ac:dyDescent="0.25">
      <c r="A94" s="5"/>
      <c r="B94" s="20"/>
      <c r="C94" s="13"/>
      <c r="D94" s="13"/>
      <c r="E94" s="22"/>
      <c r="F94" s="27"/>
      <c r="AK94" s="1"/>
    </row>
    <row r="95" spans="1:37" x14ac:dyDescent="0.25">
      <c r="A95" s="5"/>
      <c r="B95" s="20"/>
      <c r="C95" s="13"/>
      <c r="D95" s="13"/>
      <c r="E95" s="22"/>
      <c r="F95" s="27"/>
      <c r="AK95" s="1"/>
    </row>
    <row r="96" spans="1:37" x14ac:dyDescent="0.25">
      <c r="A96" s="5"/>
      <c r="B96" s="20"/>
      <c r="C96" s="13"/>
      <c r="D96" s="13"/>
      <c r="E96" s="22"/>
      <c r="F96" s="27"/>
      <c r="AK96" s="1"/>
    </row>
    <row r="97" spans="1:37" x14ac:dyDescent="0.25">
      <c r="A97" s="5"/>
      <c r="B97" s="20"/>
      <c r="C97" s="13"/>
      <c r="D97" s="13"/>
      <c r="E97" s="22"/>
      <c r="F97" s="27"/>
      <c r="AK97" s="1"/>
    </row>
    <row r="98" spans="1:37" x14ac:dyDescent="0.25">
      <c r="A98" s="5"/>
      <c r="B98" s="20"/>
      <c r="C98" s="13"/>
      <c r="D98" s="13"/>
      <c r="E98" s="22"/>
      <c r="F98" s="27"/>
      <c r="AK98" s="1"/>
    </row>
  </sheetData>
  <mergeCells count="19">
    <mergeCell ref="A1:AN1"/>
    <mergeCell ref="A4:AK4"/>
    <mergeCell ref="A9:A10"/>
    <mergeCell ref="A5:A6"/>
    <mergeCell ref="B5:B6"/>
    <mergeCell ref="C5:C6"/>
    <mergeCell ref="D5:D6"/>
    <mergeCell ref="AL5:AL6"/>
    <mergeCell ref="B9:D9"/>
    <mergeCell ref="E9:E10"/>
    <mergeCell ref="AO5:AO6"/>
    <mergeCell ref="AP5:AP6"/>
    <mergeCell ref="AQ5:AQ6"/>
    <mergeCell ref="F9:F10"/>
    <mergeCell ref="AM5:AM6"/>
    <mergeCell ref="AN5:AN6"/>
    <mergeCell ref="A8:F8"/>
    <mergeCell ref="E5:F6"/>
    <mergeCell ref="E7:F7"/>
  </mergeCells>
  <dataValidations count="2">
    <dataValidation type="list" allowBlank="1" showInputMessage="1" showErrorMessage="1" sqref="G7:AK7" xr:uid="{970F268D-90AA-4EF7-9C68-3F1E8C2EE930}">
      <formula1>$AN$2:$AN$4</formula1>
    </dataValidation>
    <dataValidation type="list" allowBlank="1" showInputMessage="1" showErrorMessage="1" sqref="A1:A1048576" xr:uid="{CF798E82-99E2-4BB5-9162-7986CB54D8DF}">
      <formula1>"TAMTIN"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B11F3-0FBB-4B23-A2A6-B93203A206F8}">
  <sheetPr codeName="Sheet2"/>
  <dimension ref="A1:AT98"/>
  <sheetViews>
    <sheetView tabSelected="1" zoomScale="98" zoomScaleNormal="98" workbookViewId="0">
      <selection activeCell="H7" sqref="H7"/>
    </sheetView>
  </sheetViews>
  <sheetFormatPr defaultRowHeight="15" x14ac:dyDescent="0.25"/>
  <cols>
    <col min="1" max="2" width="16.42578125" style="28" bestFit="1" customWidth="1"/>
    <col min="3" max="3" width="20.5703125" style="28" bestFit="1" customWidth="1"/>
    <col min="4" max="4" width="13.28515625" style="28" bestFit="1" customWidth="1"/>
    <col min="5" max="5" width="11" style="28" bestFit="1" customWidth="1"/>
    <col min="6" max="6" width="19.85546875" style="28" bestFit="1" customWidth="1"/>
    <col min="7" max="37" width="3.42578125" style="28" customWidth="1"/>
    <col min="38" max="38" width="7.7109375" style="28" bestFit="1" customWidth="1"/>
    <col min="39" max="43" width="11.28515625" style="28" bestFit="1" customWidth="1"/>
    <col min="44" max="44" width="10.140625" style="28" bestFit="1" customWidth="1"/>
    <col min="45" max="16384" width="9.140625" style="28"/>
  </cols>
  <sheetData>
    <row r="1" spans="1:46" ht="20.25" x14ac:dyDescent="0.3">
      <c r="A1" s="62" t="s">
        <v>31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1"/>
      <c r="AS1" s="1"/>
      <c r="AT1" s="1"/>
    </row>
    <row r="2" spans="1:46" ht="15.75" x14ac:dyDescent="0.25">
      <c r="A2" s="45" t="s">
        <v>32</v>
      </c>
      <c r="B2" s="44"/>
      <c r="H2" s="8"/>
      <c r="I2" s="21"/>
      <c r="J2" s="3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35"/>
      <c r="AQ2" s="1"/>
      <c r="AR2" s="1"/>
      <c r="AS2" s="1"/>
      <c r="AT2" s="1"/>
    </row>
    <row r="3" spans="1:46" ht="15.75" x14ac:dyDescent="0.25">
      <c r="A3" s="37" t="s">
        <v>28</v>
      </c>
      <c r="B3" s="38">
        <v>1</v>
      </c>
      <c r="C3" s="39" t="s">
        <v>1</v>
      </c>
      <c r="D3" s="40">
        <v>6</v>
      </c>
      <c r="E3" s="41" t="s">
        <v>4</v>
      </c>
      <c r="F3" s="42">
        <v>2025</v>
      </c>
      <c r="I3" s="33"/>
      <c r="J3" s="34"/>
      <c r="K3" s="2"/>
      <c r="L3" s="2"/>
      <c r="M3" s="2"/>
      <c r="N3" s="2"/>
      <c r="O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1"/>
      <c r="AQ3" s="1"/>
      <c r="AR3" s="1"/>
      <c r="AS3" s="1"/>
      <c r="AT3" s="1"/>
    </row>
    <row r="4" spans="1:46" ht="20.25" x14ac:dyDescent="0.25">
      <c r="A4" s="76" t="s">
        <v>13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7"/>
      <c r="AS4" s="1"/>
      <c r="AT4" s="1"/>
    </row>
    <row r="5" spans="1:46" ht="15.75" x14ac:dyDescent="0.25">
      <c r="A5" s="66" t="s">
        <v>2</v>
      </c>
      <c r="B5" s="52" t="s">
        <v>0</v>
      </c>
      <c r="C5" s="72" t="s">
        <v>3</v>
      </c>
      <c r="D5" s="72" t="s">
        <v>5</v>
      </c>
      <c r="E5" s="73" t="s">
        <v>24</v>
      </c>
      <c r="F5" s="74"/>
      <c r="G5" s="36">
        <f t="shared" ref="G5:AK5" si="0">IF(OR($B$3="",$D$3="",$F$3="",COLUMN()-COLUMN($G5)+1&gt;30),"",IFERROR(DAY(DATE($F$3,$D$3,$B$3)+(COLUMN()-COLUMN($G5))),""))</f>
        <v>1</v>
      </c>
      <c r="H5" s="36">
        <f t="shared" si="0"/>
        <v>2</v>
      </c>
      <c r="I5" s="36">
        <f t="shared" si="0"/>
        <v>3</v>
      </c>
      <c r="J5" s="36">
        <f t="shared" si="0"/>
        <v>4</v>
      </c>
      <c r="K5" s="36">
        <f t="shared" si="0"/>
        <v>5</v>
      </c>
      <c r="L5" s="36">
        <f t="shared" si="0"/>
        <v>6</v>
      </c>
      <c r="M5" s="36">
        <f t="shared" si="0"/>
        <v>7</v>
      </c>
      <c r="N5" s="36">
        <f t="shared" si="0"/>
        <v>8</v>
      </c>
      <c r="O5" s="36">
        <f t="shared" si="0"/>
        <v>9</v>
      </c>
      <c r="P5" s="36">
        <f t="shared" si="0"/>
        <v>10</v>
      </c>
      <c r="Q5" s="36">
        <f t="shared" si="0"/>
        <v>11</v>
      </c>
      <c r="R5" s="36">
        <f t="shared" si="0"/>
        <v>12</v>
      </c>
      <c r="S5" s="36">
        <f t="shared" si="0"/>
        <v>13</v>
      </c>
      <c r="T5" s="36">
        <f t="shared" si="0"/>
        <v>14</v>
      </c>
      <c r="U5" s="36">
        <f t="shared" si="0"/>
        <v>15</v>
      </c>
      <c r="V5" s="36">
        <f t="shared" si="0"/>
        <v>16</v>
      </c>
      <c r="W5" s="36">
        <f t="shared" si="0"/>
        <v>17</v>
      </c>
      <c r="X5" s="36">
        <f t="shared" si="0"/>
        <v>18</v>
      </c>
      <c r="Y5" s="36">
        <f t="shared" si="0"/>
        <v>19</v>
      </c>
      <c r="Z5" s="36">
        <f t="shared" si="0"/>
        <v>20</v>
      </c>
      <c r="AA5" s="36">
        <f t="shared" si="0"/>
        <v>21</v>
      </c>
      <c r="AB5" s="36">
        <f t="shared" si="0"/>
        <v>22</v>
      </c>
      <c r="AC5" s="36">
        <f t="shared" si="0"/>
        <v>23</v>
      </c>
      <c r="AD5" s="36">
        <f t="shared" si="0"/>
        <v>24</v>
      </c>
      <c r="AE5" s="36">
        <f t="shared" si="0"/>
        <v>25</v>
      </c>
      <c r="AF5" s="36">
        <f t="shared" si="0"/>
        <v>26</v>
      </c>
      <c r="AG5" s="36">
        <f t="shared" si="0"/>
        <v>27</v>
      </c>
      <c r="AH5" s="36">
        <f t="shared" si="0"/>
        <v>28</v>
      </c>
      <c r="AI5" s="36">
        <f t="shared" si="0"/>
        <v>29</v>
      </c>
      <c r="AJ5" s="36">
        <f t="shared" si="0"/>
        <v>30</v>
      </c>
      <c r="AK5" s="36" t="str">
        <f t="shared" si="0"/>
        <v/>
      </c>
      <c r="AL5" s="75" t="s">
        <v>6</v>
      </c>
      <c r="AM5" s="75" t="s">
        <v>19</v>
      </c>
      <c r="AN5" s="75" t="s">
        <v>20</v>
      </c>
      <c r="AO5" s="71" t="s">
        <v>21</v>
      </c>
      <c r="AP5" s="78" t="s">
        <v>22</v>
      </c>
      <c r="AQ5" s="78" t="s">
        <v>23</v>
      </c>
    </row>
    <row r="6" spans="1:46" ht="42" customHeight="1" x14ac:dyDescent="0.25">
      <c r="A6" s="66"/>
      <c r="B6" s="52"/>
      <c r="C6" s="52"/>
      <c r="D6" s="52"/>
      <c r="E6" s="58"/>
      <c r="F6" s="59"/>
      <c r="G6" s="4" t="str">
        <f t="shared" ref="G6:AJ6" si="1">IF(OR($B$3="",$D$3="",$F$3="",COLUMN()-COLUMN($G5)+1&gt;30),"",IF(WEEKDAY(DATE($F$3,$D$3,$B$3)+(COLUMN()-COLUMN($G5)))=1,"CN","T"&amp;WEEKDAY(DATE($F$3,$D$3,$B$3)+(COLUMN()-COLUMN($G5)))))</f>
        <v>CN</v>
      </c>
      <c r="H6" s="4" t="str">
        <f t="shared" si="1"/>
        <v>T2</v>
      </c>
      <c r="I6" s="4" t="str">
        <f t="shared" si="1"/>
        <v>T3</v>
      </c>
      <c r="J6" s="4" t="str">
        <f t="shared" si="1"/>
        <v>T4</v>
      </c>
      <c r="K6" s="4" t="str">
        <f t="shared" si="1"/>
        <v>T5</v>
      </c>
      <c r="L6" s="4" t="str">
        <f t="shared" si="1"/>
        <v>T6</v>
      </c>
      <c r="M6" s="4" t="str">
        <f t="shared" si="1"/>
        <v>T7</v>
      </c>
      <c r="N6" s="4" t="str">
        <f t="shared" si="1"/>
        <v>CN</v>
      </c>
      <c r="O6" s="4" t="str">
        <f t="shared" si="1"/>
        <v>T2</v>
      </c>
      <c r="P6" s="4" t="str">
        <f t="shared" si="1"/>
        <v>T3</v>
      </c>
      <c r="Q6" s="4" t="str">
        <f t="shared" si="1"/>
        <v>T4</v>
      </c>
      <c r="R6" s="4" t="str">
        <f t="shared" si="1"/>
        <v>T5</v>
      </c>
      <c r="S6" s="4" t="str">
        <f t="shared" si="1"/>
        <v>T6</v>
      </c>
      <c r="T6" s="4" t="str">
        <f t="shared" si="1"/>
        <v>T7</v>
      </c>
      <c r="U6" s="4" t="str">
        <f t="shared" si="1"/>
        <v>CN</v>
      </c>
      <c r="V6" s="4" t="str">
        <f t="shared" si="1"/>
        <v>T2</v>
      </c>
      <c r="W6" s="4" t="str">
        <f t="shared" si="1"/>
        <v>T3</v>
      </c>
      <c r="X6" s="4" t="str">
        <f t="shared" si="1"/>
        <v>T4</v>
      </c>
      <c r="Y6" s="4" t="str">
        <f t="shared" si="1"/>
        <v>T5</v>
      </c>
      <c r="Z6" s="4" t="str">
        <f t="shared" si="1"/>
        <v>T6</v>
      </c>
      <c r="AA6" s="4" t="str">
        <f t="shared" si="1"/>
        <v>T7</v>
      </c>
      <c r="AB6" s="4" t="str">
        <f t="shared" si="1"/>
        <v>CN</v>
      </c>
      <c r="AC6" s="4" t="str">
        <f t="shared" si="1"/>
        <v>T2</v>
      </c>
      <c r="AD6" s="4" t="str">
        <f t="shared" si="1"/>
        <v>T3</v>
      </c>
      <c r="AE6" s="4" t="str">
        <f t="shared" si="1"/>
        <v>T4</v>
      </c>
      <c r="AF6" s="4" t="str">
        <f t="shared" si="1"/>
        <v>T5</v>
      </c>
      <c r="AG6" s="4" t="str">
        <f t="shared" si="1"/>
        <v>T6</v>
      </c>
      <c r="AH6" s="4" t="str">
        <f t="shared" si="1"/>
        <v>T7</v>
      </c>
      <c r="AI6" s="4" t="str">
        <f t="shared" si="1"/>
        <v>CN</v>
      </c>
      <c r="AJ6" s="4" t="str">
        <f t="shared" si="1"/>
        <v>T2</v>
      </c>
      <c r="AK6" s="4" t="str">
        <f t="shared" ref="AK6" si="2">IF(AK5="","",IF(WEEKDAY(AK5)=1,"CN","T"&amp;WEEKDAY(AK5)))</f>
        <v/>
      </c>
      <c r="AL6" s="52"/>
      <c r="AM6" s="52"/>
      <c r="AN6" s="52"/>
      <c r="AO6" s="47"/>
      <c r="AP6" s="49"/>
      <c r="AQ6" s="49"/>
    </row>
    <row r="7" spans="1:46" s="43" customFormat="1" ht="27.75" customHeight="1" x14ac:dyDescent="0.25">
      <c r="A7" s="4">
        <v>1</v>
      </c>
      <c r="B7" s="20" t="s">
        <v>26</v>
      </c>
      <c r="C7" s="20" t="s">
        <v>29</v>
      </c>
      <c r="D7" s="20">
        <f>7000000/DAY(EOMONTH(DATE($F$3, $D$3, 1), 0))</f>
        <v>233333.33333333334</v>
      </c>
      <c r="E7" s="60">
        <v>7000000</v>
      </c>
      <c r="F7" s="61"/>
      <c r="G7" s="4" t="s">
        <v>9</v>
      </c>
      <c r="H7" s="4" t="s">
        <v>9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20">
        <f t="shared" ref="AL7" si="3">COUNTIF(G7:AK7,"x")</f>
        <v>2</v>
      </c>
      <c r="AM7" s="20">
        <f>SUMIFS($B$11:$B$100, $A$11:$A$100, "MYTHANH")</f>
        <v>0</v>
      </c>
      <c r="AN7" s="20">
        <f>SUMIFS($C$11:$C$100, $A$11:$A$100, "MYTHANH")</f>
        <v>0</v>
      </c>
      <c r="AO7" s="20">
        <f>SUMIFS($D$11:$D$100, $A$11:$A$100, "MYTHANH")</f>
        <v>0</v>
      </c>
      <c r="AP7" s="20">
        <f>(D7*AL7)-AM7-AO7-AN7</f>
        <v>466666.66666666669</v>
      </c>
      <c r="AQ7" s="20">
        <f t="shared" ref="AQ7" si="4">E7-AN7-AM7-AO7</f>
        <v>7000000</v>
      </c>
    </row>
    <row r="8" spans="1:46" ht="20.25" x14ac:dyDescent="0.3">
      <c r="A8" s="53" t="s">
        <v>30</v>
      </c>
      <c r="B8" s="54"/>
      <c r="C8" s="54"/>
      <c r="D8" s="54"/>
      <c r="E8" s="54"/>
      <c r="F8" s="55"/>
      <c r="AM8" s="7"/>
      <c r="AN8" s="7"/>
      <c r="AO8" s="7"/>
      <c r="AP8" s="7"/>
      <c r="AQ8" s="7"/>
    </row>
    <row r="9" spans="1:46" ht="15.75" x14ac:dyDescent="0.25">
      <c r="A9" s="52" t="s">
        <v>0</v>
      </c>
      <c r="B9" s="67" t="s">
        <v>16</v>
      </c>
      <c r="C9" s="68"/>
      <c r="D9" s="69"/>
      <c r="E9" s="70" t="s">
        <v>17</v>
      </c>
      <c r="F9" s="50" t="s">
        <v>25</v>
      </c>
    </row>
    <row r="10" spans="1:46" ht="15.75" x14ac:dyDescent="0.25">
      <c r="A10" s="52"/>
      <c r="B10" s="15" t="s">
        <v>14</v>
      </c>
      <c r="C10" s="15" t="s">
        <v>15</v>
      </c>
      <c r="D10" s="15" t="s">
        <v>18</v>
      </c>
      <c r="E10" s="70"/>
      <c r="F10" s="50"/>
    </row>
    <row r="11" spans="1:46" ht="15.75" x14ac:dyDescent="0.25">
      <c r="A11" s="4"/>
      <c r="B11" s="20"/>
      <c r="C11" s="20"/>
      <c r="D11" s="20"/>
      <c r="E11" s="21"/>
      <c r="F11" s="27"/>
    </row>
    <row r="12" spans="1:46" ht="15.75" x14ac:dyDescent="0.25">
      <c r="A12" s="4"/>
      <c r="B12" s="20"/>
      <c r="C12" s="13"/>
      <c r="D12" s="13"/>
      <c r="E12" s="22"/>
      <c r="F12" s="27"/>
    </row>
    <row r="13" spans="1:46" ht="15.75" x14ac:dyDescent="0.25">
      <c r="A13" s="4"/>
      <c r="B13" s="20"/>
      <c r="C13" s="20"/>
      <c r="D13" s="20"/>
      <c r="E13" s="23"/>
      <c r="F13" s="27"/>
    </row>
    <row r="14" spans="1:46" ht="15.75" x14ac:dyDescent="0.25">
      <c r="A14" s="5"/>
      <c r="B14" s="20"/>
      <c r="C14" s="13"/>
      <c r="D14" s="13"/>
      <c r="E14" s="22"/>
      <c r="F14" s="27"/>
    </row>
    <row r="15" spans="1:46" ht="15.75" x14ac:dyDescent="0.25">
      <c r="A15" s="5"/>
      <c r="B15" s="20"/>
      <c r="C15" s="13"/>
      <c r="D15" s="13"/>
      <c r="E15" s="22"/>
      <c r="F15" s="27"/>
    </row>
    <row r="16" spans="1:46" ht="15.75" x14ac:dyDescent="0.25">
      <c r="A16" s="5"/>
      <c r="B16" s="20"/>
      <c r="C16" s="13"/>
      <c r="D16" s="13"/>
      <c r="E16" s="22"/>
      <c r="F16" s="27"/>
    </row>
    <row r="17" spans="1:6" ht="15.75" x14ac:dyDescent="0.25">
      <c r="A17" s="5"/>
      <c r="B17" s="20"/>
      <c r="C17" s="13"/>
      <c r="D17" s="13"/>
      <c r="E17" s="22"/>
      <c r="F17" s="27"/>
    </row>
    <row r="18" spans="1:6" ht="15.75" x14ac:dyDescent="0.25">
      <c r="A18" s="5"/>
      <c r="B18" s="20"/>
      <c r="C18" s="13"/>
      <c r="D18" s="13"/>
      <c r="E18" s="22"/>
      <c r="F18" s="27"/>
    </row>
    <row r="19" spans="1:6" ht="15.75" x14ac:dyDescent="0.25">
      <c r="A19" s="5"/>
      <c r="B19" s="20"/>
      <c r="C19" s="13"/>
      <c r="D19" s="13"/>
      <c r="E19" s="22"/>
      <c r="F19" s="27"/>
    </row>
    <row r="20" spans="1:6" ht="15.75" x14ac:dyDescent="0.25">
      <c r="A20" s="5"/>
      <c r="B20" s="20"/>
      <c r="C20" s="13"/>
      <c r="D20" s="13"/>
      <c r="E20" s="22"/>
      <c r="F20" s="27"/>
    </row>
    <row r="21" spans="1:6" ht="15.75" x14ac:dyDescent="0.25">
      <c r="A21" s="5"/>
      <c r="B21" s="20"/>
      <c r="C21" s="13"/>
      <c r="D21" s="13"/>
      <c r="E21" s="22"/>
      <c r="F21" s="27"/>
    </row>
    <row r="22" spans="1:6" ht="15.75" x14ac:dyDescent="0.25">
      <c r="A22" s="5"/>
      <c r="B22" s="20"/>
      <c r="C22" s="13"/>
      <c r="D22" s="13"/>
      <c r="E22" s="22"/>
      <c r="F22" s="27"/>
    </row>
    <row r="23" spans="1:6" ht="15.75" x14ac:dyDescent="0.25">
      <c r="A23" s="5"/>
      <c r="B23" s="20"/>
      <c r="C23" s="13"/>
      <c r="D23" s="13"/>
      <c r="E23" s="22"/>
      <c r="F23" s="27"/>
    </row>
    <row r="24" spans="1:6" ht="15.75" x14ac:dyDescent="0.25">
      <c r="A24" s="5"/>
      <c r="B24" s="20"/>
      <c r="C24" s="13"/>
      <c r="D24" s="13"/>
      <c r="E24" s="22"/>
      <c r="F24" s="27"/>
    </row>
    <row r="25" spans="1:6" ht="15.75" x14ac:dyDescent="0.25">
      <c r="A25" s="5"/>
      <c r="B25" s="20"/>
      <c r="C25" s="13"/>
      <c r="D25" s="13"/>
      <c r="E25" s="22"/>
      <c r="F25" s="27"/>
    </row>
    <row r="26" spans="1:6" ht="15.75" x14ac:dyDescent="0.25">
      <c r="A26" s="5"/>
      <c r="B26" s="20"/>
      <c r="C26" s="13"/>
      <c r="D26" s="13"/>
      <c r="E26" s="22"/>
      <c r="F26" s="27"/>
    </row>
    <row r="27" spans="1:6" ht="15.75" x14ac:dyDescent="0.25">
      <c r="A27" s="5"/>
      <c r="B27" s="20"/>
      <c r="C27" s="13"/>
      <c r="D27" s="13"/>
      <c r="E27" s="22"/>
      <c r="F27" s="27"/>
    </row>
    <row r="28" spans="1:6" ht="15.75" x14ac:dyDescent="0.25">
      <c r="A28" s="5"/>
      <c r="B28" s="20"/>
      <c r="C28" s="13"/>
      <c r="D28" s="13"/>
      <c r="E28" s="22"/>
      <c r="F28" s="27"/>
    </row>
    <row r="29" spans="1:6" ht="15.75" x14ac:dyDescent="0.25">
      <c r="A29" s="5"/>
      <c r="B29" s="20"/>
      <c r="C29" s="13"/>
      <c r="D29" s="13"/>
      <c r="E29" s="22"/>
      <c r="F29" s="27"/>
    </row>
    <row r="30" spans="1:6" ht="15.75" x14ac:dyDescent="0.25">
      <c r="A30" s="5"/>
      <c r="B30" s="20"/>
      <c r="C30" s="13"/>
      <c r="D30" s="13"/>
      <c r="E30" s="22"/>
      <c r="F30" s="27"/>
    </row>
    <row r="31" spans="1:6" ht="15.75" x14ac:dyDescent="0.25">
      <c r="A31" s="5"/>
      <c r="B31" s="20"/>
      <c r="C31" s="13"/>
      <c r="D31" s="13"/>
      <c r="E31" s="22"/>
      <c r="F31" s="27"/>
    </row>
    <row r="32" spans="1:6" ht="15.75" x14ac:dyDescent="0.25">
      <c r="A32" s="5"/>
      <c r="B32" s="20"/>
      <c r="C32" s="13"/>
      <c r="D32" s="13"/>
      <c r="E32" s="22"/>
      <c r="F32" s="27"/>
    </row>
    <row r="33" spans="1:6" ht="15.75" x14ac:dyDescent="0.25">
      <c r="A33" s="5"/>
      <c r="B33" s="20"/>
      <c r="C33" s="13"/>
      <c r="D33" s="13"/>
      <c r="E33" s="22"/>
      <c r="F33" s="27"/>
    </row>
    <row r="34" spans="1:6" ht="15.75" x14ac:dyDescent="0.25">
      <c r="A34" s="5"/>
      <c r="B34" s="20"/>
      <c r="C34" s="13"/>
      <c r="D34" s="13"/>
      <c r="E34" s="22"/>
      <c r="F34" s="27"/>
    </row>
    <row r="35" spans="1:6" ht="15.75" x14ac:dyDescent="0.25">
      <c r="A35" s="5"/>
      <c r="B35" s="20"/>
      <c r="C35" s="13"/>
      <c r="D35" s="13"/>
      <c r="E35" s="22"/>
      <c r="F35" s="27"/>
    </row>
    <row r="36" spans="1:6" ht="15.75" x14ac:dyDescent="0.25">
      <c r="A36" s="5"/>
      <c r="B36" s="20"/>
      <c r="C36" s="13"/>
      <c r="D36" s="13"/>
      <c r="E36" s="22"/>
      <c r="F36" s="27"/>
    </row>
    <row r="37" spans="1:6" ht="15.75" x14ac:dyDescent="0.25">
      <c r="A37" s="5"/>
      <c r="B37" s="20"/>
      <c r="C37" s="13"/>
      <c r="D37" s="13"/>
      <c r="E37" s="22"/>
      <c r="F37" s="27"/>
    </row>
    <row r="38" spans="1:6" ht="15.75" x14ac:dyDescent="0.25">
      <c r="A38" s="5"/>
      <c r="B38" s="20"/>
      <c r="C38" s="13"/>
      <c r="D38" s="13"/>
      <c r="E38" s="22"/>
      <c r="F38" s="27"/>
    </row>
    <row r="39" spans="1:6" ht="15.75" x14ac:dyDescent="0.25">
      <c r="A39" s="5"/>
      <c r="B39" s="20"/>
      <c r="C39" s="13"/>
      <c r="D39" s="13"/>
      <c r="E39" s="22"/>
      <c r="F39" s="27"/>
    </row>
    <row r="40" spans="1:6" ht="15.75" x14ac:dyDescent="0.25">
      <c r="A40" s="5"/>
      <c r="B40" s="20"/>
      <c r="C40" s="13"/>
      <c r="D40" s="13"/>
      <c r="E40" s="22"/>
      <c r="F40" s="27"/>
    </row>
    <row r="41" spans="1:6" ht="15.75" x14ac:dyDescent="0.25">
      <c r="A41" s="5"/>
      <c r="B41" s="20"/>
      <c r="C41" s="13"/>
      <c r="D41" s="13"/>
      <c r="E41" s="22"/>
      <c r="F41" s="27"/>
    </row>
    <row r="42" spans="1:6" ht="15.75" x14ac:dyDescent="0.25">
      <c r="A42" s="5"/>
      <c r="B42" s="20"/>
      <c r="C42" s="13"/>
      <c r="D42" s="13"/>
      <c r="E42" s="22"/>
      <c r="F42" s="27"/>
    </row>
    <row r="43" spans="1:6" ht="15.75" x14ac:dyDescent="0.25">
      <c r="A43" s="5"/>
      <c r="B43" s="20"/>
      <c r="C43" s="13"/>
      <c r="D43" s="13"/>
      <c r="E43" s="22"/>
      <c r="F43" s="27"/>
    </row>
    <row r="44" spans="1:6" ht="15.75" x14ac:dyDescent="0.25">
      <c r="A44" s="5"/>
      <c r="B44" s="20"/>
      <c r="C44" s="13"/>
      <c r="D44" s="13"/>
      <c r="E44" s="22"/>
      <c r="F44" s="27"/>
    </row>
    <row r="45" spans="1:6" ht="15.75" x14ac:dyDescent="0.25">
      <c r="A45" s="5"/>
      <c r="B45" s="20"/>
      <c r="C45" s="13"/>
      <c r="D45" s="13"/>
      <c r="E45" s="22"/>
      <c r="F45" s="27"/>
    </row>
    <row r="46" spans="1:6" ht="15.75" x14ac:dyDescent="0.25">
      <c r="A46" s="5"/>
      <c r="B46" s="20"/>
      <c r="C46" s="13"/>
      <c r="D46" s="13"/>
      <c r="E46" s="22"/>
      <c r="F46" s="27"/>
    </row>
    <row r="47" spans="1:6" ht="15.75" x14ac:dyDescent="0.25">
      <c r="A47" s="5"/>
      <c r="B47" s="20"/>
      <c r="C47" s="13"/>
      <c r="D47" s="13"/>
      <c r="E47" s="22"/>
      <c r="F47" s="27"/>
    </row>
    <row r="48" spans="1:6" ht="15.75" x14ac:dyDescent="0.25">
      <c r="A48" s="5"/>
      <c r="B48" s="20"/>
      <c r="C48" s="13"/>
      <c r="D48" s="13"/>
      <c r="E48" s="22"/>
      <c r="F48" s="27"/>
    </row>
    <row r="49" spans="1:6" ht="15.75" x14ac:dyDescent="0.25">
      <c r="A49" s="5"/>
      <c r="B49" s="20"/>
      <c r="C49" s="13"/>
      <c r="D49" s="13"/>
      <c r="E49" s="22"/>
      <c r="F49" s="27"/>
    </row>
    <row r="50" spans="1:6" ht="15.75" x14ac:dyDescent="0.25">
      <c r="A50" s="5"/>
      <c r="B50" s="20"/>
      <c r="C50" s="13"/>
      <c r="D50" s="13"/>
      <c r="E50" s="22"/>
      <c r="F50" s="27"/>
    </row>
    <row r="51" spans="1:6" ht="15.75" x14ac:dyDescent="0.25">
      <c r="A51" s="5"/>
      <c r="B51" s="20"/>
      <c r="C51" s="13"/>
      <c r="D51" s="13"/>
      <c r="E51" s="22"/>
      <c r="F51" s="27"/>
    </row>
    <row r="52" spans="1:6" ht="15.75" x14ac:dyDescent="0.25">
      <c r="A52" s="5"/>
      <c r="B52" s="20"/>
      <c r="C52" s="13"/>
      <c r="D52" s="13"/>
      <c r="E52" s="22"/>
      <c r="F52" s="27"/>
    </row>
    <row r="53" spans="1:6" ht="15.75" x14ac:dyDescent="0.25">
      <c r="A53" s="5"/>
      <c r="B53" s="20"/>
      <c r="C53" s="13"/>
      <c r="D53" s="13"/>
      <c r="E53" s="22"/>
      <c r="F53" s="27"/>
    </row>
    <row r="54" spans="1:6" ht="15.75" x14ac:dyDescent="0.25">
      <c r="A54" s="5"/>
      <c r="B54" s="20"/>
      <c r="C54" s="13"/>
      <c r="D54" s="13"/>
      <c r="E54" s="22"/>
      <c r="F54" s="27"/>
    </row>
    <row r="55" spans="1:6" ht="15.75" x14ac:dyDescent="0.25">
      <c r="A55" s="5"/>
      <c r="B55" s="20"/>
      <c r="C55" s="13"/>
      <c r="D55" s="13"/>
      <c r="E55" s="22"/>
      <c r="F55" s="27"/>
    </row>
    <row r="56" spans="1:6" ht="15.75" x14ac:dyDescent="0.25">
      <c r="A56" s="5"/>
      <c r="B56" s="20"/>
      <c r="C56" s="13"/>
      <c r="D56" s="13"/>
      <c r="E56" s="22"/>
      <c r="F56" s="27"/>
    </row>
    <row r="57" spans="1:6" ht="15.75" x14ac:dyDescent="0.25">
      <c r="A57" s="5"/>
      <c r="B57" s="20"/>
      <c r="C57" s="13"/>
      <c r="D57" s="13"/>
      <c r="E57" s="22"/>
      <c r="F57" s="27"/>
    </row>
    <row r="58" spans="1:6" ht="15.75" x14ac:dyDescent="0.25">
      <c r="A58" s="5"/>
      <c r="B58" s="20"/>
      <c r="C58" s="13"/>
      <c r="D58" s="13"/>
      <c r="E58" s="22"/>
      <c r="F58" s="27"/>
    </row>
    <row r="59" spans="1:6" ht="15.75" x14ac:dyDescent="0.25">
      <c r="A59" s="5"/>
      <c r="B59" s="20"/>
      <c r="C59" s="13"/>
      <c r="D59" s="13"/>
      <c r="E59" s="22"/>
      <c r="F59" s="27"/>
    </row>
    <row r="60" spans="1:6" ht="15.75" x14ac:dyDescent="0.25">
      <c r="A60" s="5"/>
      <c r="B60" s="20"/>
      <c r="C60" s="13"/>
      <c r="D60" s="13"/>
      <c r="E60" s="22"/>
      <c r="F60" s="27"/>
    </row>
    <row r="61" spans="1:6" ht="15.75" x14ac:dyDescent="0.25">
      <c r="A61" s="5"/>
      <c r="B61" s="20"/>
      <c r="C61" s="13"/>
      <c r="D61" s="13"/>
      <c r="E61" s="22"/>
      <c r="F61" s="27"/>
    </row>
    <row r="62" spans="1:6" ht="15.75" x14ac:dyDescent="0.25">
      <c r="A62" s="5"/>
      <c r="B62" s="20"/>
      <c r="C62" s="13"/>
      <c r="D62" s="13"/>
      <c r="E62" s="22"/>
      <c r="F62" s="27"/>
    </row>
    <row r="63" spans="1:6" ht="15.75" x14ac:dyDescent="0.25">
      <c r="A63" s="5"/>
      <c r="B63" s="20"/>
      <c r="C63" s="13"/>
      <c r="D63" s="13"/>
      <c r="E63" s="22"/>
      <c r="F63" s="27"/>
    </row>
    <row r="64" spans="1:6" ht="15.75" x14ac:dyDescent="0.25">
      <c r="A64" s="5"/>
      <c r="B64" s="20"/>
      <c r="C64" s="13"/>
      <c r="D64" s="13"/>
      <c r="E64" s="22"/>
      <c r="F64" s="27"/>
    </row>
    <row r="65" spans="1:6" ht="15.75" x14ac:dyDescent="0.25">
      <c r="A65" s="5"/>
      <c r="B65" s="20"/>
      <c r="C65" s="13"/>
      <c r="D65" s="13"/>
      <c r="E65" s="22"/>
      <c r="F65" s="27"/>
    </row>
    <row r="66" spans="1:6" ht="15.75" x14ac:dyDescent="0.25">
      <c r="A66" s="5"/>
      <c r="B66" s="20"/>
      <c r="C66" s="13"/>
      <c r="D66" s="13"/>
      <c r="E66" s="22"/>
      <c r="F66" s="27"/>
    </row>
    <row r="67" spans="1:6" ht="15.75" x14ac:dyDescent="0.25">
      <c r="A67" s="5"/>
      <c r="B67" s="20"/>
      <c r="C67" s="13"/>
      <c r="D67" s="13"/>
      <c r="E67" s="22"/>
      <c r="F67" s="27"/>
    </row>
    <row r="68" spans="1:6" ht="15.75" x14ac:dyDescent="0.25">
      <c r="A68" s="5"/>
      <c r="B68" s="20"/>
      <c r="C68" s="13"/>
      <c r="D68" s="13"/>
      <c r="E68" s="22"/>
      <c r="F68" s="27"/>
    </row>
    <row r="69" spans="1:6" ht="15.75" x14ac:dyDescent="0.25">
      <c r="A69" s="5"/>
      <c r="B69" s="20"/>
      <c r="C69" s="13"/>
      <c r="D69" s="13"/>
      <c r="E69" s="22"/>
      <c r="F69" s="27"/>
    </row>
    <row r="70" spans="1:6" ht="15.75" x14ac:dyDescent="0.25">
      <c r="A70" s="5"/>
      <c r="B70" s="20"/>
      <c r="C70" s="13"/>
      <c r="D70" s="13"/>
      <c r="E70" s="22"/>
      <c r="F70" s="27"/>
    </row>
    <row r="71" spans="1:6" ht="15.75" x14ac:dyDescent="0.25">
      <c r="A71" s="5"/>
      <c r="B71" s="20"/>
      <c r="C71" s="13"/>
      <c r="D71" s="13"/>
      <c r="E71" s="22"/>
      <c r="F71" s="27"/>
    </row>
    <row r="72" spans="1:6" ht="15.75" x14ac:dyDescent="0.25">
      <c r="A72" s="5"/>
      <c r="B72" s="20"/>
      <c r="C72" s="13"/>
      <c r="D72" s="13"/>
      <c r="E72" s="22"/>
      <c r="F72" s="27"/>
    </row>
    <row r="73" spans="1:6" ht="15.75" x14ac:dyDescent="0.25">
      <c r="A73" s="5"/>
      <c r="B73" s="20"/>
      <c r="C73" s="13"/>
      <c r="D73" s="13"/>
      <c r="E73" s="22"/>
      <c r="F73" s="27"/>
    </row>
    <row r="74" spans="1:6" ht="15.75" x14ac:dyDescent="0.25">
      <c r="A74" s="5"/>
      <c r="B74" s="20"/>
      <c r="C74" s="13"/>
      <c r="D74" s="13"/>
      <c r="E74" s="22"/>
      <c r="F74" s="27"/>
    </row>
    <row r="75" spans="1:6" ht="15.75" x14ac:dyDescent="0.25">
      <c r="A75" s="5"/>
      <c r="B75" s="20"/>
      <c r="C75" s="13"/>
      <c r="D75" s="13"/>
      <c r="E75" s="22"/>
      <c r="F75" s="27"/>
    </row>
    <row r="76" spans="1:6" ht="15.75" x14ac:dyDescent="0.25">
      <c r="A76" s="5"/>
      <c r="B76" s="20"/>
      <c r="C76" s="13"/>
      <c r="D76" s="13"/>
      <c r="E76" s="22"/>
      <c r="F76" s="27"/>
    </row>
    <row r="77" spans="1:6" ht="15.75" x14ac:dyDescent="0.25">
      <c r="A77" s="5"/>
      <c r="B77" s="20"/>
      <c r="C77" s="13"/>
      <c r="D77" s="13"/>
      <c r="E77" s="22"/>
      <c r="F77" s="27"/>
    </row>
    <row r="78" spans="1:6" ht="15.75" x14ac:dyDescent="0.25">
      <c r="A78" s="5"/>
      <c r="B78" s="20"/>
      <c r="C78" s="13"/>
      <c r="D78" s="13"/>
      <c r="E78" s="22"/>
      <c r="F78" s="27"/>
    </row>
    <row r="79" spans="1:6" ht="15.75" x14ac:dyDescent="0.25">
      <c r="A79" s="5"/>
      <c r="B79" s="20"/>
      <c r="C79" s="13"/>
      <c r="D79" s="13"/>
      <c r="E79" s="22"/>
      <c r="F79" s="27"/>
    </row>
    <row r="80" spans="1:6" ht="15.75" x14ac:dyDescent="0.25">
      <c r="A80" s="5"/>
      <c r="B80" s="20"/>
      <c r="C80" s="13"/>
      <c r="D80" s="13"/>
      <c r="E80" s="22"/>
      <c r="F80" s="27"/>
    </row>
    <row r="81" spans="1:6" ht="15.75" x14ac:dyDescent="0.25">
      <c r="A81" s="5"/>
      <c r="B81" s="20"/>
      <c r="C81" s="13"/>
      <c r="D81" s="13"/>
      <c r="E81" s="22"/>
      <c r="F81" s="27"/>
    </row>
    <row r="82" spans="1:6" ht="15.75" x14ac:dyDescent="0.25">
      <c r="A82" s="5"/>
      <c r="B82" s="20"/>
      <c r="C82" s="13"/>
      <c r="D82" s="13"/>
      <c r="E82" s="22"/>
      <c r="F82" s="27"/>
    </row>
    <row r="83" spans="1:6" ht="15.75" x14ac:dyDescent="0.25">
      <c r="A83" s="5"/>
      <c r="B83" s="20"/>
      <c r="C83" s="13"/>
      <c r="D83" s="13"/>
      <c r="E83" s="22"/>
      <c r="F83" s="27"/>
    </row>
    <row r="84" spans="1:6" ht="15.75" x14ac:dyDescent="0.25">
      <c r="A84" s="5"/>
      <c r="B84" s="20"/>
      <c r="C84" s="13"/>
      <c r="D84" s="13"/>
      <c r="E84" s="22"/>
      <c r="F84" s="27"/>
    </row>
    <row r="85" spans="1:6" ht="15.75" x14ac:dyDescent="0.25">
      <c r="A85" s="5"/>
      <c r="B85" s="20"/>
      <c r="C85" s="13"/>
      <c r="D85" s="13"/>
      <c r="E85" s="22"/>
      <c r="F85" s="27"/>
    </row>
    <row r="86" spans="1:6" ht="15.75" x14ac:dyDescent="0.25">
      <c r="A86" s="5"/>
      <c r="B86" s="20"/>
      <c r="C86" s="13"/>
      <c r="D86" s="13"/>
      <c r="E86" s="22"/>
      <c r="F86" s="27"/>
    </row>
    <row r="87" spans="1:6" ht="15.75" x14ac:dyDescent="0.25">
      <c r="A87" s="5"/>
      <c r="B87" s="20"/>
      <c r="C87" s="13"/>
      <c r="D87" s="13"/>
      <c r="E87" s="22"/>
      <c r="F87" s="27"/>
    </row>
    <row r="88" spans="1:6" ht="15.75" x14ac:dyDescent="0.25">
      <c r="A88" s="5"/>
      <c r="B88" s="20"/>
      <c r="C88" s="13"/>
      <c r="D88" s="13"/>
      <c r="E88" s="22"/>
      <c r="F88" s="27"/>
    </row>
    <row r="89" spans="1:6" ht="15.75" x14ac:dyDescent="0.25">
      <c r="A89" s="5"/>
      <c r="B89" s="20"/>
      <c r="C89" s="13"/>
      <c r="D89" s="13"/>
      <c r="E89" s="22"/>
      <c r="F89" s="27"/>
    </row>
    <row r="90" spans="1:6" ht="15.75" x14ac:dyDescent="0.25">
      <c r="A90" s="5"/>
      <c r="B90" s="20"/>
      <c r="C90" s="13"/>
      <c r="D90" s="13"/>
      <c r="E90" s="22"/>
      <c r="F90" s="27"/>
    </row>
    <row r="91" spans="1:6" ht="15.75" x14ac:dyDescent="0.25">
      <c r="A91" s="5"/>
      <c r="B91" s="20"/>
      <c r="C91" s="13"/>
      <c r="D91" s="13"/>
      <c r="E91" s="22"/>
      <c r="F91" s="27"/>
    </row>
    <row r="92" spans="1:6" ht="15.75" x14ac:dyDescent="0.25">
      <c r="A92" s="5"/>
      <c r="B92" s="20"/>
      <c r="C92" s="13"/>
      <c r="D92" s="13"/>
      <c r="E92" s="22"/>
      <c r="F92" s="27"/>
    </row>
    <row r="93" spans="1:6" ht="15.75" x14ac:dyDescent="0.25">
      <c r="A93" s="5"/>
      <c r="B93" s="20"/>
      <c r="C93" s="13"/>
      <c r="D93" s="13"/>
      <c r="E93" s="22"/>
      <c r="F93" s="27"/>
    </row>
    <row r="94" spans="1:6" ht="15.75" x14ac:dyDescent="0.25">
      <c r="A94" s="5"/>
      <c r="B94" s="20"/>
      <c r="C94" s="13"/>
      <c r="D94" s="13"/>
      <c r="E94" s="22"/>
      <c r="F94" s="27"/>
    </row>
    <row r="95" spans="1:6" ht="15.75" x14ac:dyDescent="0.25">
      <c r="A95" s="5"/>
      <c r="B95" s="20"/>
      <c r="C95" s="13"/>
      <c r="D95" s="13"/>
      <c r="E95" s="22"/>
      <c r="F95" s="27"/>
    </row>
    <row r="96" spans="1:6" ht="15.75" x14ac:dyDescent="0.25">
      <c r="A96" s="5"/>
      <c r="B96" s="20"/>
      <c r="C96" s="13"/>
      <c r="D96" s="13"/>
      <c r="E96" s="22"/>
      <c r="F96" s="27"/>
    </row>
    <row r="97" spans="1:6" ht="15.75" x14ac:dyDescent="0.25">
      <c r="A97" s="5"/>
      <c r="B97" s="20"/>
      <c r="C97" s="13"/>
      <c r="D97" s="13"/>
      <c r="E97" s="22"/>
      <c r="F97" s="27"/>
    </row>
    <row r="98" spans="1:6" ht="15.75" x14ac:dyDescent="0.25">
      <c r="A98" s="5"/>
      <c r="B98" s="20"/>
      <c r="C98" s="13"/>
      <c r="D98" s="13"/>
      <c r="E98" s="22"/>
      <c r="F98" s="27"/>
    </row>
  </sheetData>
  <mergeCells count="19">
    <mergeCell ref="A1:AQ1"/>
    <mergeCell ref="A4:AQ4"/>
    <mergeCell ref="A8:F8"/>
    <mergeCell ref="AP5:AP6"/>
    <mergeCell ref="AQ5:AQ6"/>
    <mergeCell ref="A9:A10"/>
    <mergeCell ref="B9:D9"/>
    <mergeCell ref="E9:E10"/>
    <mergeCell ref="F9:F10"/>
    <mergeCell ref="AO5:AO6"/>
    <mergeCell ref="E7:F7"/>
    <mergeCell ref="C5:C6"/>
    <mergeCell ref="D5:D6"/>
    <mergeCell ref="E5:F6"/>
    <mergeCell ref="AL5:AL6"/>
    <mergeCell ref="AM5:AM6"/>
    <mergeCell ref="AN5:AN6"/>
    <mergeCell ref="A5:A6"/>
    <mergeCell ref="B5:B6"/>
  </mergeCells>
  <dataValidations count="3">
    <dataValidation type="list" allowBlank="1" showInputMessage="1" showErrorMessage="1" sqref="B2 C3" xr:uid="{FB46255F-2287-4F8A-8514-0D549D3C61BB}">
      <formula1>#REF!</formula1>
    </dataValidation>
    <dataValidation type="list" allowBlank="1" showInputMessage="1" showErrorMessage="1" sqref="A1:A1048576" xr:uid="{F0E8F311-56FB-4416-B535-EA0497AF8B44}">
      <formula1>"MYTHANH"</formula1>
    </dataValidation>
    <dataValidation type="list" allowBlank="1" showInputMessage="1" showErrorMessage="1" sqref="G7:AK7" xr:uid="{E6B1908E-0114-4694-A268-93DA34D2286F}">
      <formula1>"x"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TÂM &amp; TÍN</vt:lpstr>
      <vt:lpstr>CHỊ THANH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nguyenhoanghuyprocoder@gmail.com</cp:lastModifiedBy>
  <dcterms:created xsi:type="dcterms:W3CDTF">2025-05-18T09:11:17Z</dcterms:created>
  <dcterms:modified xsi:type="dcterms:W3CDTF">2025-06-02T09:00:04Z</dcterms:modified>
</cp:coreProperties>
</file>